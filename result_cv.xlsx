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zuki/git clone/kaggle/kaggle_RANZCR_CLiP_CatheterandLinePositionChallenge/"/>
    </mc:Choice>
  </mc:AlternateContent>
  <xr:revisionPtr revIDLastSave="0" documentId="13_ncr:1_{93793648-D4C0-F842-9D7A-3E1BF0076574}" xr6:coauthVersionLast="46" xr6:coauthVersionMax="46" xr10:uidLastSave="{00000000-0000-0000-0000-000000000000}"/>
  <bookViews>
    <workbookView xWindow="6240" yWindow="-18860" windowWidth="25600" windowHeight="14760" xr2:uid="{B627A83A-5682-1F41-A739-258436414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4" i="1" l="1"/>
  <c r="O64" i="1"/>
  <c r="N64" i="1"/>
  <c r="M64" i="1"/>
  <c r="L64" i="1"/>
  <c r="K64" i="1"/>
  <c r="J64" i="1"/>
  <c r="I64" i="1"/>
  <c r="H64" i="1"/>
  <c r="G64" i="1"/>
  <c r="F64" i="1"/>
  <c r="Q63" i="1"/>
  <c r="Q62" i="1"/>
  <c r="Q61" i="1"/>
  <c r="Q60" i="1"/>
  <c r="Q59" i="1"/>
  <c r="P58" i="1"/>
  <c r="O58" i="1"/>
  <c r="N58" i="1"/>
  <c r="M58" i="1"/>
  <c r="L58" i="1"/>
  <c r="K58" i="1"/>
  <c r="J58" i="1"/>
  <c r="I58" i="1"/>
  <c r="H58" i="1"/>
  <c r="G58" i="1"/>
  <c r="F58" i="1"/>
  <c r="Q57" i="1"/>
  <c r="Q56" i="1"/>
  <c r="Q55" i="1"/>
  <c r="Q54" i="1"/>
  <c r="Q53" i="1"/>
  <c r="P52" i="1"/>
  <c r="O52" i="1"/>
  <c r="N52" i="1"/>
  <c r="M52" i="1"/>
  <c r="L52" i="1"/>
  <c r="K52" i="1"/>
  <c r="J52" i="1"/>
  <c r="I52" i="1"/>
  <c r="H52" i="1"/>
  <c r="G52" i="1"/>
  <c r="F52" i="1"/>
  <c r="Q51" i="1"/>
  <c r="Q50" i="1"/>
  <c r="Q49" i="1"/>
  <c r="Q48" i="1"/>
  <c r="Q47" i="1"/>
  <c r="P46" i="1"/>
  <c r="O46" i="1"/>
  <c r="N46" i="1"/>
  <c r="M46" i="1"/>
  <c r="L46" i="1"/>
  <c r="K46" i="1"/>
  <c r="J46" i="1"/>
  <c r="I46" i="1"/>
  <c r="H46" i="1"/>
  <c r="G46" i="1"/>
  <c r="F46" i="1"/>
  <c r="Q45" i="1"/>
  <c r="Q44" i="1"/>
  <c r="Q43" i="1"/>
  <c r="Q42" i="1"/>
  <c r="Q41" i="1"/>
  <c r="P40" i="1"/>
  <c r="O40" i="1"/>
  <c r="N40" i="1"/>
  <c r="M40" i="1"/>
  <c r="L40" i="1"/>
  <c r="K40" i="1"/>
  <c r="J40" i="1"/>
  <c r="I40" i="1"/>
  <c r="H40" i="1"/>
  <c r="G40" i="1"/>
  <c r="F40" i="1"/>
  <c r="Q39" i="1"/>
  <c r="Q38" i="1"/>
  <c r="Q37" i="1"/>
  <c r="Q36" i="1"/>
  <c r="Q35" i="1"/>
  <c r="P34" i="1"/>
  <c r="O34" i="1"/>
  <c r="N34" i="1"/>
  <c r="M34" i="1"/>
  <c r="L34" i="1"/>
  <c r="K34" i="1"/>
  <c r="J34" i="1"/>
  <c r="I34" i="1"/>
  <c r="H34" i="1"/>
  <c r="G34" i="1"/>
  <c r="F34" i="1"/>
  <c r="Q33" i="1"/>
  <c r="Q32" i="1"/>
  <c r="Q31" i="1"/>
  <c r="Q30" i="1"/>
  <c r="Q29" i="1"/>
  <c r="P28" i="1"/>
  <c r="O28" i="1"/>
  <c r="N28" i="1"/>
  <c r="M28" i="1"/>
  <c r="L28" i="1"/>
  <c r="K28" i="1"/>
  <c r="J28" i="1"/>
  <c r="I28" i="1"/>
  <c r="H28" i="1"/>
  <c r="G28" i="1"/>
  <c r="F28" i="1"/>
  <c r="Q27" i="1"/>
  <c r="Q26" i="1"/>
  <c r="Q25" i="1"/>
  <c r="Q24" i="1"/>
  <c r="Q23" i="1"/>
  <c r="P22" i="1"/>
  <c r="O22" i="1"/>
  <c r="N22" i="1"/>
  <c r="M22" i="1"/>
  <c r="L22" i="1"/>
  <c r="K22" i="1"/>
  <c r="J22" i="1"/>
  <c r="I22" i="1"/>
  <c r="H22" i="1"/>
  <c r="G22" i="1"/>
  <c r="F22" i="1"/>
  <c r="P16" i="1"/>
  <c r="O16" i="1"/>
  <c r="N16" i="1"/>
  <c r="M16" i="1"/>
  <c r="L16" i="1"/>
  <c r="K16" i="1"/>
  <c r="J16" i="1"/>
  <c r="I16" i="1"/>
  <c r="H16" i="1"/>
  <c r="G16" i="1"/>
  <c r="F16" i="1"/>
  <c r="Q21" i="1"/>
  <c r="Q20" i="1"/>
  <c r="Q19" i="1"/>
  <c r="Q18" i="1"/>
  <c r="Q17" i="1"/>
  <c r="Q15" i="1"/>
  <c r="Q14" i="1"/>
  <c r="Q13" i="1"/>
  <c r="Q12" i="1"/>
  <c r="Q5" i="1"/>
  <c r="Q11" i="1"/>
  <c r="Q10" i="1"/>
  <c r="Q9" i="1"/>
  <c r="Q8" i="1"/>
  <c r="Q7" i="1"/>
  <c r="Q6" i="1"/>
  <c r="Q4" i="1"/>
  <c r="Q64" i="1" l="1"/>
  <c r="Q58" i="1"/>
  <c r="Q52" i="1"/>
  <c r="Q46" i="1"/>
  <c r="Q40" i="1"/>
  <c r="Q28" i="1"/>
  <c r="Q34" i="1"/>
  <c r="Q22" i="1"/>
  <c r="Q16" i="1"/>
</calcChain>
</file>

<file path=xl/sharedStrings.xml><?xml version="1.0" encoding="utf-8"?>
<sst xmlns="http://schemas.openxmlformats.org/spreadsheetml/2006/main" count="74" uniqueCount="56">
  <si>
    <t>CV</t>
    <phoneticPr fontId="1"/>
  </si>
  <si>
    <t>model</t>
    <phoneticPr fontId="1"/>
  </si>
  <si>
    <t>date</t>
    <phoneticPr fontId="1"/>
  </si>
  <si>
    <t>ave</t>
    <phoneticPr fontId="1"/>
  </si>
  <si>
    <t>pb</t>
    <phoneticPr fontId="1"/>
  </si>
  <si>
    <t>preprocess</t>
    <phoneticPr fontId="1"/>
  </si>
  <si>
    <t>ResNext50(32x4d)</t>
    <phoneticPr fontId="1"/>
  </si>
  <si>
    <t>label 0</t>
    <phoneticPr fontId="1"/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</si>
  <si>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</si>
  <si>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</si>
  <si>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</si>
  <si>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</si>
  <si>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</si>
  <si>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</si>
  <si>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</si>
  <si>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</si>
  <si>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</si>
  <si>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</si>
  <si>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BaseLine</t>
    <phoneticPr fontId="1"/>
  </si>
  <si>
    <t>- size 600
- resizecrop
- horizontalflip</t>
    <phoneticPr fontId="1"/>
  </si>
  <si>
    <t>ETT Abn</t>
    <phoneticPr fontId="1"/>
  </si>
  <si>
    <t>ETT Bor</t>
    <phoneticPr fontId="1"/>
  </si>
  <si>
    <t>ETT Nor</t>
    <phoneticPr fontId="1"/>
  </si>
  <si>
    <t>NGT Abn</t>
    <phoneticPr fontId="1"/>
  </si>
  <si>
    <t>NGT Bor</t>
    <phoneticPr fontId="1"/>
  </si>
  <si>
    <t>NGT Nor</t>
    <phoneticPr fontId="1"/>
  </si>
  <si>
    <t>NGT Inc</t>
    <phoneticPr fontId="1"/>
  </si>
  <si>
    <t>CVC Abn</t>
    <phoneticPr fontId="1"/>
  </si>
  <si>
    <t>CVC Bor</t>
    <phoneticPr fontId="1"/>
  </si>
  <si>
    <t>CVC Nor</t>
    <phoneticPr fontId="1"/>
  </si>
  <si>
    <t>SWG CP</t>
    <phoneticPr fontId="1"/>
  </si>
  <si>
    <t>- size 640
- batch size 16
- resizecrop
- rotate -5,5</t>
    <phoneticPr fontId="1"/>
  </si>
  <si>
    <t>- size 600
- batch size 32
- resizecrop
- blur
- random brightness
- random contrast
- rotate -5,5</t>
    <phoneticPr fontId="1"/>
  </si>
  <si>
    <t>fold</t>
    <phoneticPr fontId="1"/>
  </si>
  <si>
    <t>- size 600
- batch size 32
- resizecrop
- rotate -5,5
- Annotationed data</t>
    <phoneticPr fontId="1"/>
  </si>
  <si>
    <t>No.</t>
    <phoneticPr fontId="1"/>
  </si>
  <si>
    <t>-</t>
    <phoneticPr fontId="1"/>
  </si>
  <si>
    <t>001</t>
    <phoneticPr fontId="1"/>
  </si>
  <si>
    <t>002</t>
    <phoneticPr fontId="1"/>
  </si>
  <si>
    <t>003</t>
    <phoneticPr fontId="1"/>
  </si>
  <si>
    <t>- size 224
- batch size 64
- resizecrop
- rotate -5,5
- Annotation None</t>
    <phoneticPr fontId="1"/>
  </si>
  <si>
    <t>004</t>
    <phoneticPr fontId="1"/>
  </si>
  <si>
    <t>- size 512
- batch size 32
- resizecrop
- CLAHE
- rotate -5,5
- Annotation None
- Filter None</t>
    <phoneticPr fontId="1"/>
  </si>
  <si>
    <t>006</t>
    <phoneticPr fontId="1"/>
  </si>
  <si>
    <t>- size 640
- batch size 16
- resize
- CLAHE(p=0.5)
- rotate -5,5
- Annotation None
- GaussianBlur Filter</t>
    <phoneticPr fontId="1"/>
  </si>
  <si>
    <t>best 更新ならず</t>
    <rPh sb="5" eb="7">
      <t>コウシッン</t>
    </rPh>
    <phoneticPr fontId="1"/>
  </si>
  <si>
    <t>exp001</t>
    <phoneticPr fontId="1"/>
  </si>
  <si>
    <t>007</t>
    <phoneticPr fontId="1"/>
  </si>
  <si>
    <t>EffcientNetB5
NoisyStudent</t>
    <phoneticPr fontId="1"/>
  </si>
  <si>
    <t>- size 640
- batch size 8
- resize
- CLAHE(p=0.5)
- ShiftScaleRotate
- Annotation None
- Filter None</t>
    <phoneticPr fontId="1"/>
  </si>
  <si>
    <t>008</t>
    <phoneticPr fontId="1"/>
  </si>
  <si>
    <t>- size 512
- batch size 16
- Annotationed p=0.5
- Filter None</t>
    <phoneticPr fontId="1"/>
  </si>
  <si>
    <t>Resnet200d</t>
    <phoneticPr fontId="1"/>
  </si>
  <si>
    <t>009</t>
    <phoneticPr fontId="1"/>
  </si>
  <si>
    <t>- size 640
- batch size 8
- Annotationed p=0.5
- Filter None</t>
    <phoneticPr fontId="1"/>
  </si>
  <si>
    <t>010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</si>
</sst>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_);[Red]\(0\)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2" xfId="0" quotePrefix="1" applyNumberFormat="1" applyBorder="1" applyAlignment="1">
      <alignment horizontal="center" vertical="center"/>
    </xf>
    <xf numFmtId="56" fontId="0" fillId="0" borderId="3" xfId="0" applyNumberFormat="1" applyBorder="1" applyAlignment="1">
      <alignment horizontal="center" vertical="center"/>
    </xf>
    <xf numFmtId="56" fontId="0" fillId="0" borderId="4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178" fontId="0" fillId="0" borderId="2" xfId="0" quotePrefix="1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1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F899-BD5E-914D-B613-F9790C52B0DD}">
  <dimension ref="A1:S65"/>
  <sheetViews>
    <sheetView tabSelected="1" zoomScale="74" workbookViewId="0">
      <pane xSplit="4" ySplit="3" topLeftCell="E50" activePane="bottomRight" state="frozen"/>
      <selection pane="topRight" activeCell="E1" sqref="E1"/>
      <selection pane="bottomLeft" activeCell="A4" sqref="A4"/>
      <selection pane="bottomRight" activeCell="F64" sqref="F64"/>
    </sheetView>
  </sheetViews>
  <sheetFormatPr baseColWidth="10" defaultRowHeight="20"/>
  <cols>
    <col min="1" max="1" width="10.7109375" style="1"/>
    <col min="2" max="2" width="10.7109375" style="5"/>
    <col min="3" max="3" width="20.140625" style="1" bestFit="1" customWidth="1"/>
    <col min="4" max="4" width="22.28515625" style="1" bestFit="1" customWidth="1"/>
    <col min="5" max="5" width="5.140625" style="5" bestFit="1" customWidth="1"/>
    <col min="6" max="10" width="10.7109375" style="1"/>
    <col min="11" max="16" width="10.7109375" style="4"/>
  </cols>
  <sheetData>
    <row r="1" spans="1:19">
      <c r="A1" s="18" t="s">
        <v>2</v>
      </c>
      <c r="B1" s="20" t="s">
        <v>35</v>
      </c>
      <c r="C1" s="18" t="s">
        <v>5</v>
      </c>
      <c r="D1" s="18" t="s">
        <v>1</v>
      </c>
      <c r="E1" s="18" t="s">
        <v>33</v>
      </c>
      <c r="F1" s="18" t="s">
        <v>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23" t="s">
        <v>3</v>
      </c>
      <c r="R1" s="23" t="s">
        <v>4</v>
      </c>
    </row>
    <row r="2" spans="1:19">
      <c r="A2" s="18"/>
      <c r="B2" s="21"/>
      <c r="C2" s="18"/>
      <c r="D2" s="18"/>
      <c r="E2" s="18"/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26</v>
      </c>
      <c r="L2" s="6" t="s">
        <v>25</v>
      </c>
      <c r="M2" s="6" t="s">
        <v>27</v>
      </c>
      <c r="N2" s="6" t="s">
        <v>28</v>
      </c>
      <c r="O2" s="6" t="s">
        <v>29</v>
      </c>
      <c r="P2" s="6" t="s">
        <v>30</v>
      </c>
      <c r="Q2" s="23"/>
      <c r="R2" s="23"/>
    </row>
    <row r="3" spans="1:19">
      <c r="A3" s="18"/>
      <c r="B3" s="22"/>
      <c r="C3" s="18"/>
      <c r="D3" s="18"/>
      <c r="E3" s="18"/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23"/>
      <c r="R3" s="23"/>
    </row>
    <row r="4" spans="1:19" ht="30" customHeight="1">
      <c r="A4" s="12" t="s">
        <v>18</v>
      </c>
      <c r="B4" s="30" t="s">
        <v>36</v>
      </c>
      <c r="C4" s="16" t="s">
        <v>19</v>
      </c>
      <c r="D4" s="18" t="s">
        <v>6</v>
      </c>
      <c r="E4" s="6">
        <v>0</v>
      </c>
      <c r="F4" s="6">
        <v>0.94769999999999999</v>
      </c>
      <c r="G4" s="6">
        <v>0.94210000000000005</v>
      </c>
      <c r="H4" s="6">
        <v>0.98980000000000001</v>
      </c>
      <c r="I4" s="6">
        <v>0.93579999999999997</v>
      </c>
      <c r="J4" s="6">
        <v>0.94259999999999999</v>
      </c>
      <c r="K4" s="6">
        <v>0.9768</v>
      </c>
      <c r="L4" s="6">
        <v>0.97789999999999999</v>
      </c>
      <c r="M4" s="6">
        <v>0.89219999999999999</v>
      </c>
      <c r="N4" s="6">
        <v>0.80600000000000005</v>
      </c>
      <c r="O4" s="6">
        <v>0.86950000000000005</v>
      </c>
      <c r="P4" s="6">
        <v>0.99580000000000002</v>
      </c>
      <c r="Q4" s="7">
        <f t="shared" ref="Q4:Q15" si="0">AVERAGE(F4:P4)</f>
        <v>0.93419999999999992</v>
      </c>
      <c r="R4" s="19">
        <v>0.94899999999999995</v>
      </c>
    </row>
    <row r="5" spans="1:19" ht="30" customHeight="1">
      <c r="A5" s="12"/>
      <c r="B5" s="14"/>
      <c r="C5" s="16"/>
      <c r="D5" s="18"/>
      <c r="E5" s="6">
        <v>1</v>
      </c>
      <c r="F5" s="6">
        <v>0.93079999999999996</v>
      </c>
      <c r="G5" s="6">
        <v>0.9587</v>
      </c>
      <c r="H5" s="6">
        <v>0.98919999999999997</v>
      </c>
      <c r="I5" s="6">
        <v>0.92910000000000004</v>
      </c>
      <c r="J5" s="6">
        <v>0.93600000000000005</v>
      </c>
      <c r="K5" s="6">
        <v>0.97499999999999998</v>
      </c>
      <c r="L5" s="6">
        <v>0.98229999999999995</v>
      </c>
      <c r="M5" s="6">
        <v>0.88959999999999995</v>
      </c>
      <c r="N5" s="6">
        <v>0.80889999999999995</v>
      </c>
      <c r="O5" s="6">
        <v>0.88149999999999995</v>
      </c>
      <c r="P5" s="6">
        <v>0.99890000000000001</v>
      </c>
      <c r="Q5" s="7">
        <f t="shared" si="0"/>
        <v>0.93454545454545446</v>
      </c>
      <c r="R5" s="19"/>
    </row>
    <row r="6" spans="1:19" ht="30" customHeight="1">
      <c r="A6" s="12"/>
      <c r="B6" s="14"/>
      <c r="C6" s="16"/>
      <c r="D6" s="18"/>
      <c r="E6" s="6">
        <v>2</v>
      </c>
      <c r="F6" s="6">
        <v>0.9758</v>
      </c>
      <c r="G6" s="6">
        <v>0.94779999999999998</v>
      </c>
      <c r="H6" s="6">
        <v>0.98819999999999997</v>
      </c>
      <c r="I6" s="6">
        <v>0.93220000000000003</v>
      </c>
      <c r="J6" s="6">
        <v>0.92600000000000005</v>
      </c>
      <c r="K6" s="6">
        <v>0.9768</v>
      </c>
      <c r="L6" s="6">
        <v>0.98060000000000003</v>
      </c>
      <c r="M6" s="6">
        <v>0.88680000000000003</v>
      </c>
      <c r="N6" s="6">
        <v>0.82530000000000003</v>
      </c>
      <c r="O6" s="6">
        <v>0.88260000000000005</v>
      </c>
      <c r="P6" s="6">
        <v>0.99939999999999996</v>
      </c>
      <c r="Q6" s="7">
        <f t="shared" si="0"/>
        <v>0.93831818181818172</v>
      </c>
      <c r="R6" s="19"/>
    </row>
    <row r="7" spans="1:19" ht="30" customHeight="1">
      <c r="A7" s="12"/>
      <c r="B7" s="15"/>
      <c r="C7" s="16"/>
      <c r="D7" s="18"/>
      <c r="E7" s="6">
        <v>3</v>
      </c>
      <c r="F7" s="6">
        <v>0.96230000000000004</v>
      </c>
      <c r="G7" s="6">
        <v>0.95109999999999995</v>
      </c>
      <c r="H7" s="6">
        <v>0.9919</v>
      </c>
      <c r="I7" s="6">
        <v>0.90969999999999995</v>
      </c>
      <c r="J7" s="6">
        <v>0.92669999999999997</v>
      </c>
      <c r="K7" s="6">
        <v>0.97960000000000003</v>
      </c>
      <c r="L7" s="6">
        <v>0.98160000000000003</v>
      </c>
      <c r="M7" s="6">
        <v>0.86950000000000005</v>
      </c>
      <c r="N7" s="6">
        <v>0.79769999999999996</v>
      </c>
      <c r="O7" s="6">
        <v>0.88200000000000001</v>
      </c>
      <c r="P7" s="6">
        <v>0.99809999999999999</v>
      </c>
      <c r="Q7" s="7">
        <f t="shared" si="0"/>
        <v>0.93183636363636357</v>
      </c>
      <c r="R7" s="19"/>
    </row>
    <row r="8" spans="1:19" ht="30" customHeight="1">
      <c r="A8" s="12">
        <v>44251</v>
      </c>
      <c r="B8" s="30"/>
      <c r="C8" s="16" t="s">
        <v>32</v>
      </c>
      <c r="D8" s="18" t="s">
        <v>6</v>
      </c>
      <c r="E8" s="6">
        <v>0</v>
      </c>
      <c r="F8" s="6">
        <v>0.92430000000000001</v>
      </c>
      <c r="G8" s="6">
        <v>0.94099999999999995</v>
      </c>
      <c r="H8" s="6">
        <v>0.98850000000000005</v>
      </c>
      <c r="I8" s="6">
        <v>0.93730000000000002</v>
      </c>
      <c r="J8" s="6">
        <v>0.94969999999999999</v>
      </c>
      <c r="K8" s="6">
        <v>0.97789999999999999</v>
      </c>
      <c r="L8" s="6">
        <v>0.97850000000000004</v>
      </c>
      <c r="M8" s="6">
        <v>0.87309999999999999</v>
      </c>
      <c r="N8" s="6">
        <v>0.79859999999999998</v>
      </c>
      <c r="O8" s="6">
        <v>0.874</v>
      </c>
      <c r="P8" s="6">
        <v>0.99590000000000001</v>
      </c>
      <c r="Q8" s="7">
        <f t="shared" si="0"/>
        <v>0.93080000000000007</v>
      </c>
      <c r="R8" s="19"/>
    </row>
    <row r="9" spans="1:19" ht="30" customHeight="1">
      <c r="A9" s="12"/>
      <c r="B9" s="14"/>
      <c r="C9" s="16"/>
      <c r="D9" s="18"/>
      <c r="E9" s="6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 t="e">
        <f t="shared" si="0"/>
        <v>#DIV/0!</v>
      </c>
      <c r="R9" s="19"/>
    </row>
    <row r="10" spans="1:19" ht="30" customHeight="1">
      <c r="A10" s="12"/>
      <c r="B10" s="14"/>
      <c r="C10" s="16"/>
      <c r="D10" s="18"/>
      <c r="E10" s="6">
        <v>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 t="e">
        <f t="shared" si="0"/>
        <v>#DIV/0!</v>
      </c>
      <c r="R10" s="19"/>
    </row>
    <row r="11" spans="1:19" ht="30" customHeight="1">
      <c r="A11" s="12"/>
      <c r="B11" s="15"/>
      <c r="C11" s="16"/>
      <c r="D11" s="18"/>
      <c r="E11" s="6">
        <v>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 t="e">
        <f t="shared" si="0"/>
        <v>#DIV/0!</v>
      </c>
      <c r="R11" s="19"/>
    </row>
    <row r="12" spans="1:19" ht="30" customHeight="1">
      <c r="A12" s="30">
        <v>44252</v>
      </c>
      <c r="B12" s="31" t="s">
        <v>37</v>
      </c>
      <c r="C12" s="24" t="s">
        <v>31</v>
      </c>
      <c r="D12" s="20" t="s">
        <v>6</v>
      </c>
      <c r="E12" s="6">
        <v>0</v>
      </c>
      <c r="F12" s="7">
        <v>0.91739999999999999</v>
      </c>
      <c r="G12" s="7">
        <v>0.94430000000000003</v>
      </c>
      <c r="H12" s="7">
        <v>0.98960000000000004</v>
      </c>
      <c r="I12" s="7">
        <v>0.9244</v>
      </c>
      <c r="J12" s="7">
        <v>0.91659999999999997</v>
      </c>
      <c r="K12" s="7">
        <v>0.97660000000000002</v>
      </c>
      <c r="L12" s="7">
        <v>0.97860000000000003</v>
      </c>
      <c r="M12" s="7">
        <v>0.88190000000000002</v>
      </c>
      <c r="N12" s="7">
        <v>0.81299999999999994</v>
      </c>
      <c r="O12" s="7">
        <v>0.86780000000000002</v>
      </c>
      <c r="P12" s="7">
        <v>0.99570000000000003</v>
      </c>
      <c r="Q12" s="7">
        <f t="shared" si="0"/>
        <v>0.92780909090909103</v>
      </c>
      <c r="R12" s="27">
        <v>0.95099999999999996</v>
      </c>
    </row>
    <row r="13" spans="1:19" ht="30" customHeight="1">
      <c r="A13" s="14"/>
      <c r="B13" s="32"/>
      <c r="C13" s="25"/>
      <c r="D13" s="21"/>
      <c r="E13" s="6">
        <v>1</v>
      </c>
      <c r="F13" s="7">
        <v>0.92679999999999996</v>
      </c>
      <c r="G13" s="7">
        <v>0.95089999999999997</v>
      </c>
      <c r="H13" s="7">
        <v>0.98640000000000005</v>
      </c>
      <c r="I13" s="7">
        <v>0.92869999999999997</v>
      </c>
      <c r="J13" s="7">
        <v>0.93479999999999996</v>
      </c>
      <c r="K13" s="7">
        <v>0.97340000000000004</v>
      </c>
      <c r="L13" s="7">
        <v>0.98309999999999997</v>
      </c>
      <c r="M13" s="7">
        <v>0.87180000000000002</v>
      </c>
      <c r="N13" s="7">
        <v>0.80769999999999997</v>
      </c>
      <c r="O13" s="7">
        <v>0.89080000000000004</v>
      </c>
      <c r="P13" s="7">
        <v>0.99829999999999997</v>
      </c>
      <c r="Q13" s="7">
        <f t="shared" si="0"/>
        <v>0.93206363636363643</v>
      </c>
      <c r="R13" s="28"/>
    </row>
    <row r="14" spans="1:19" ht="30" customHeight="1">
      <c r="A14" s="14"/>
      <c r="B14" s="32"/>
      <c r="C14" s="25"/>
      <c r="D14" s="21"/>
      <c r="E14" s="6">
        <v>2</v>
      </c>
      <c r="F14" s="7">
        <v>0.95479999999999998</v>
      </c>
      <c r="G14" s="7">
        <v>0.94830000000000003</v>
      </c>
      <c r="H14" s="7">
        <v>0.98760000000000003</v>
      </c>
      <c r="I14" s="7">
        <v>0.90090000000000003</v>
      </c>
      <c r="J14" s="7">
        <v>0.93479999999999996</v>
      </c>
      <c r="K14" s="7">
        <v>0.98099999999999998</v>
      </c>
      <c r="L14" s="7">
        <v>0.98160000000000003</v>
      </c>
      <c r="M14" s="7">
        <v>0.89490000000000003</v>
      </c>
      <c r="N14" s="7">
        <v>0.83879999999999999</v>
      </c>
      <c r="O14" s="7">
        <v>0.88660000000000005</v>
      </c>
      <c r="P14" s="7">
        <v>0.99950000000000006</v>
      </c>
      <c r="Q14" s="7">
        <f t="shared" si="0"/>
        <v>0.9371636363636362</v>
      </c>
      <c r="R14" s="28"/>
      <c r="S14" s="3"/>
    </row>
    <row r="15" spans="1:19" ht="30" customHeight="1">
      <c r="A15" s="14"/>
      <c r="B15" s="32"/>
      <c r="C15" s="25"/>
      <c r="D15" s="21"/>
      <c r="E15" s="6">
        <v>3</v>
      </c>
      <c r="F15" s="7">
        <v>0.97689999999999999</v>
      </c>
      <c r="G15" s="7">
        <v>0.95179999999999998</v>
      </c>
      <c r="H15" s="7">
        <v>0.99250000000000005</v>
      </c>
      <c r="I15" s="7">
        <v>0.93540000000000001</v>
      </c>
      <c r="J15" s="7">
        <v>0.94810000000000005</v>
      </c>
      <c r="K15" s="7">
        <v>0.98240000000000005</v>
      </c>
      <c r="L15" s="7">
        <v>0.98399999999999999</v>
      </c>
      <c r="M15" s="7">
        <v>0.86109999999999998</v>
      </c>
      <c r="N15" s="7">
        <v>0.80930000000000002</v>
      </c>
      <c r="O15" s="7">
        <v>0.88249999999999995</v>
      </c>
      <c r="P15" s="7">
        <v>0.99880000000000002</v>
      </c>
      <c r="Q15" s="7">
        <f t="shared" si="0"/>
        <v>0.93843636363636374</v>
      </c>
      <c r="R15" s="28"/>
    </row>
    <row r="16" spans="1:19" ht="30" customHeight="1">
      <c r="A16" s="15"/>
      <c r="B16" s="33"/>
      <c r="C16" s="26"/>
      <c r="D16" s="22"/>
      <c r="E16" s="6" t="s">
        <v>0</v>
      </c>
      <c r="F16" s="7">
        <f>AVERAGE(F12:F15)</f>
        <v>0.94397500000000001</v>
      </c>
      <c r="G16" s="7">
        <f t="shared" ref="G16:Q16" si="1">AVERAGE(G12:G15)</f>
        <v>0.94882500000000003</v>
      </c>
      <c r="H16" s="7">
        <f t="shared" si="1"/>
        <v>0.98902500000000004</v>
      </c>
      <c r="I16" s="7">
        <f t="shared" si="1"/>
        <v>0.92235</v>
      </c>
      <c r="J16" s="7">
        <f t="shared" si="1"/>
        <v>0.93357500000000004</v>
      </c>
      <c r="K16" s="7">
        <f t="shared" si="1"/>
        <v>0.97835000000000005</v>
      </c>
      <c r="L16" s="7">
        <f t="shared" si="1"/>
        <v>0.98182499999999995</v>
      </c>
      <c r="M16" s="7">
        <f t="shared" si="1"/>
        <v>0.87742500000000001</v>
      </c>
      <c r="N16" s="7">
        <f t="shared" si="1"/>
        <v>0.81719999999999993</v>
      </c>
      <c r="O16" s="7">
        <f t="shared" si="1"/>
        <v>0.88192499999999996</v>
      </c>
      <c r="P16" s="7">
        <f t="shared" si="1"/>
        <v>0.99807500000000005</v>
      </c>
      <c r="Q16" s="7">
        <f t="shared" si="1"/>
        <v>0.93386818181818199</v>
      </c>
      <c r="R16" s="29"/>
    </row>
    <row r="17" spans="1:19" ht="30" customHeight="1">
      <c r="A17" s="12">
        <v>44252</v>
      </c>
      <c r="B17" s="13" t="s">
        <v>38</v>
      </c>
      <c r="C17" s="16" t="s">
        <v>34</v>
      </c>
      <c r="D17" s="18" t="s">
        <v>6</v>
      </c>
      <c r="E17" s="6">
        <v>0</v>
      </c>
      <c r="F17" s="7">
        <v>0.94479999999999997</v>
      </c>
      <c r="G17" s="7">
        <v>0.90759999999999996</v>
      </c>
      <c r="H17" s="7">
        <v>0.98250000000000004</v>
      </c>
      <c r="I17" s="7">
        <v>0.95050000000000001</v>
      </c>
      <c r="J17" s="7">
        <v>0.96960000000000002</v>
      </c>
      <c r="K17" s="7">
        <v>0.98740000000000006</v>
      </c>
      <c r="L17" s="7">
        <v>0.98939999999999995</v>
      </c>
      <c r="M17" s="7">
        <v>0.95989999999999998</v>
      </c>
      <c r="N17" s="7">
        <v>0.97099999999999997</v>
      </c>
      <c r="O17" s="7">
        <v>1</v>
      </c>
      <c r="P17" s="7">
        <v>0.998</v>
      </c>
      <c r="Q17" s="7">
        <f t="shared" ref="Q17:Q20" si="2">AVERAGE(F17:P17)</f>
        <v>0.96915454545454527</v>
      </c>
      <c r="R17" s="19"/>
    </row>
    <row r="18" spans="1:19" ht="30" customHeight="1">
      <c r="A18" s="12"/>
      <c r="B18" s="14"/>
      <c r="C18" s="16"/>
      <c r="D18" s="18"/>
      <c r="E18" s="6">
        <v>1</v>
      </c>
      <c r="F18" s="7">
        <v>0.76449999999999996</v>
      </c>
      <c r="G18" s="7">
        <v>0.9093</v>
      </c>
      <c r="H18" s="7">
        <v>0.97629999999999995</v>
      </c>
      <c r="I18" s="7">
        <v>0.93069999999999997</v>
      </c>
      <c r="J18" s="7">
        <v>0.9405</v>
      </c>
      <c r="K18" s="7">
        <v>0.98009999999999997</v>
      </c>
      <c r="L18" s="7">
        <v>0.98609999999999998</v>
      </c>
      <c r="M18" s="7">
        <v>0.95369999999999999</v>
      </c>
      <c r="N18" s="7">
        <v>0.97070000000000001</v>
      </c>
      <c r="O18" s="7">
        <v>1</v>
      </c>
      <c r="P18" s="7">
        <v>1</v>
      </c>
      <c r="Q18" s="7">
        <f t="shared" si="2"/>
        <v>0.94653636363636373</v>
      </c>
      <c r="R18" s="19"/>
    </row>
    <row r="19" spans="1:19" ht="30" customHeight="1">
      <c r="A19" s="12"/>
      <c r="B19" s="14"/>
      <c r="C19" s="16"/>
      <c r="D19" s="18"/>
      <c r="E19" s="6">
        <v>2</v>
      </c>
      <c r="F19" s="7">
        <v>0.92210000000000003</v>
      </c>
      <c r="G19" s="7">
        <v>0.89649999999999996</v>
      </c>
      <c r="H19" s="7">
        <v>0.9798</v>
      </c>
      <c r="I19" s="7">
        <v>0.95279999999999998</v>
      </c>
      <c r="J19" s="7">
        <v>0.95040000000000002</v>
      </c>
      <c r="K19" s="7">
        <v>0.98640000000000005</v>
      </c>
      <c r="L19" s="7">
        <v>0.98760000000000003</v>
      </c>
      <c r="M19" s="7">
        <v>0.95469999999999999</v>
      </c>
      <c r="N19" s="7">
        <v>0.97629999999999995</v>
      </c>
      <c r="O19" s="7">
        <v>1</v>
      </c>
      <c r="P19" s="7">
        <v>0.99990000000000001</v>
      </c>
      <c r="Q19" s="7">
        <f t="shared" si="2"/>
        <v>0.9642272727272726</v>
      </c>
      <c r="R19" s="19"/>
      <c r="S19" s="5"/>
    </row>
    <row r="20" spans="1:19" ht="30" customHeight="1">
      <c r="A20" s="12"/>
      <c r="B20" s="14"/>
      <c r="C20" s="16"/>
      <c r="D20" s="18"/>
      <c r="E20" s="6">
        <v>3</v>
      </c>
      <c r="F20" s="7">
        <v>0.76590000000000003</v>
      </c>
      <c r="G20" s="7">
        <v>0.86299999999999999</v>
      </c>
      <c r="H20" s="7">
        <v>0.97409999999999997</v>
      </c>
      <c r="I20" s="7">
        <v>0.9365</v>
      </c>
      <c r="J20" s="7">
        <v>0.97109999999999996</v>
      </c>
      <c r="K20" s="7">
        <v>0.98650000000000004</v>
      </c>
      <c r="L20" s="7">
        <v>0.9859</v>
      </c>
      <c r="M20" s="7">
        <v>0.96330000000000005</v>
      </c>
      <c r="N20" s="7">
        <v>0.97440000000000004</v>
      </c>
      <c r="O20" s="7">
        <v>0.99990000000000001</v>
      </c>
      <c r="P20" s="7">
        <v>0.99990000000000001</v>
      </c>
      <c r="Q20" s="7">
        <f t="shared" si="2"/>
        <v>0.94731818181818184</v>
      </c>
      <c r="R20" s="19"/>
    </row>
    <row r="21" spans="1:19" ht="30" customHeight="1">
      <c r="A21" s="12"/>
      <c r="B21" s="14"/>
      <c r="C21" s="16"/>
      <c r="D21" s="18"/>
      <c r="E21" s="6">
        <v>4</v>
      </c>
      <c r="F21" s="7">
        <v>0.80800000000000005</v>
      </c>
      <c r="G21" s="7">
        <v>0.91039999999999999</v>
      </c>
      <c r="H21" s="7">
        <v>0.98180000000000001</v>
      </c>
      <c r="I21" s="7">
        <v>0.9889</v>
      </c>
      <c r="J21" s="7">
        <v>0.95889999999999997</v>
      </c>
      <c r="K21" s="7">
        <v>0.9889</v>
      </c>
      <c r="L21" s="7">
        <v>0.98750000000000004</v>
      </c>
      <c r="M21" s="7">
        <v>0.95279999999999998</v>
      </c>
      <c r="N21" s="7">
        <v>0.97650000000000003</v>
      </c>
      <c r="O21" s="7">
        <v>0.99990000000000001</v>
      </c>
      <c r="P21" s="7">
        <v>1</v>
      </c>
      <c r="Q21" s="7">
        <f t="shared" ref="Q21" si="3">AVERAGE(F21:P21)</f>
        <v>0.95941818181818173</v>
      </c>
      <c r="R21" s="19"/>
    </row>
    <row r="22" spans="1:19" ht="30" customHeight="1">
      <c r="A22" s="12"/>
      <c r="B22" s="15"/>
      <c r="C22" s="16"/>
      <c r="D22" s="18"/>
      <c r="E22" s="6" t="s">
        <v>0</v>
      </c>
      <c r="F22" s="7">
        <f>AVERAGE(F17:F21)</f>
        <v>0.84105999999999992</v>
      </c>
      <c r="G22" s="7">
        <f t="shared" ref="G22:Q22" si="4">AVERAGE(G17:G21)</f>
        <v>0.89735999999999994</v>
      </c>
      <c r="H22" s="7">
        <f t="shared" si="4"/>
        <v>0.97889999999999999</v>
      </c>
      <c r="I22" s="7">
        <f t="shared" si="4"/>
        <v>0.95188000000000006</v>
      </c>
      <c r="J22" s="7">
        <f t="shared" si="4"/>
        <v>0.95809999999999995</v>
      </c>
      <c r="K22" s="7">
        <f t="shared" si="4"/>
        <v>0.98585999999999996</v>
      </c>
      <c r="L22" s="7">
        <f t="shared" si="4"/>
        <v>0.98729999999999996</v>
      </c>
      <c r="M22" s="7">
        <f t="shared" si="4"/>
        <v>0.95687999999999995</v>
      </c>
      <c r="N22" s="7">
        <f t="shared" si="4"/>
        <v>0.97377999999999998</v>
      </c>
      <c r="O22" s="7">
        <f t="shared" si="4"/>
        <v>0.99996000000000007</v>
      </c>
      <c r="P22" s="7">
        <f t="shared" si="4"/>
        <v>0.99956</v>
      </c>
      <c r="Q22" s="7">
        <f t="shared" si="4"/>
        <v>0.95733090909090901</v>
      </c>
      <c r="R22" s="19"/>
    </row>
    <row r="23" spans="1:19" ht="30" customHeight="1">
      <c r="A23" s="12">
        <v>44253</v>
      </c>
      <c r="B23" s="13" t="s">
        <v>39</v>
      </c>
      <c r="C23" s="16" t="s">
        <v>40</v>
      </c>
      <c r="D23" s="18" t="s">
        <v>6</v>
      </c>
      <c r="E23" s="6">
        <v>0</v>
      </c>
      <c r="F23" s="7">
        <v>0.89739999999999998</v>
      </c>
      <c r="G23" s="7">
        <v>0.92249999999999999</v>
      </c>
      <c r="H23" s="7">
        <v>0.98080000000000001</v>
      </c>
      <c r="I23" s="7">
        <v>0.87480000000000002</v>
      </c>
      <c r="J23" s="7">
        <v>0.84850000000000003</v>
      </c>
      <c r="K23" s="7">
        <v>0.95850000000000002</v>
      </c>
      <c r="L23" s="7">
        <v>0.94610000000000005</v>
      </c>
      <c r="M23" s="7">
        <v>0.73729999999999996</v>
      </c>
      <c r="N23" s="7">
        <v>0.71160000000000001</v>
      </c>
      <c r="O23" s="7">
        <v>0.7238</v>
      </c>
      <c r="P23" s="7">
        <v>0.99629999999999996</v>
      </c>
      <c r="Q23" s="7">
        <f t="shared" ref="Q23:Q27" si="5">AVERAGE(F23:P23)</f>
        <v>0.8725090909090909</v>
      </c>
      <c r="R23" s="19"/>
    </row>
    <row r="24" spans="1:19" ht="30" customHeight="1">
      <c r="A24" s="12"/>
      <c r="B24" s="14"/>
      <c r="C24" s="16"/>
      <c r="D24" s="18"/>
      <c r="E24" s="6">
        <v>1</v>
      </c>
      <c r="F24" s="7">
        <v>0.85760000000000003</v>
      </c>
      <c r="G24" s="7">
        <v>0.91859999999999997</v>
      </c>
      <c r="H24" s="7">
        <v>0.98370000000000002</v>
      </c>
      <c r="I24" s="7">
        <v>0.84799999999999998</v>
      </c>
      <c r="J24" s="7">
        <v>0.84550000000000003</v>
      </c>
      <c r="K24" s="7">
        <v>0.9556</v>
      </c>
      <c r="L24" s="7">
        <v>0.94950000000000001</v>
      </c>
      <c r="M24" s="7">
        <v>0.72940000000000005</v>
      </c>
      <c r="N24" s="7">
        <v>0.68930000000000002</v>
      </c>
      <c r="O24" s="7">
        <v>0.72919999999999996</v>
      </c>
      <c r="P24" s="7">
        <v>0.98640000000000005</v>
      </c>
      <c r="Q24" s="7">
        <f t="shared" si="5"/>
        <v>0.86298181818181829</v>
      </c>
      <c r="R24" s="19"/>
    </row>
    <row r="25" spans="1:19" ht="30" customHeight="1">
      <c r="A25" s="12"/>
      <c r="B25" s="14"/>
      <c r="C25" s="16"/>
      <c r="D25" s="18"/>
      <c r="E25" s="6">
        <v>2</v>
      </c>
      <c r="F25" s="7">
        <v>0.95920000000000005</v>
      </c>
      <c r="G25" s="7">
        <v>0.91559999999999997</v>
      </c>
      <c r="H25" s="7">
        <v>0.98099999999999998</v>
      </c>
      <c r="I25" s="7">
        <v>0.81689999999999996</v>
      </c>
      <c r="J25" s="7">
        <v>0.84</v>
      </c>
      <c r="K25" s="7">
        <v>0.95240000000000002</v>
      </c>
      <c r="L25" s="7">
        <v>0.94769999999999999</v>
      </c>
      <c r="M25" s="7">
        <v>0.71730000000000005</v>
      </c>
      <c r="N25" s="7">
        <v>0.69689999999999996</v>
      </c>
      <c r="O25" s="7">
        <v>0.71830000000000005</v>
      </c>
      <c r="P25" s="7">
        <v>0.99519999999999997</v>
      </c>
      <c r="Q25" s="7">
        <f t="shared" si="5"/>
        <v>0.86731818181818177</v>
      </c>
      <c r="R25" s="19"/>
    </row>
    <row r="26" spans="1:19" ht="30" customHeight="1">
      <c r="A26" s="12"/>
      <c r="B26" s="14"/>
      <c r="C26" s="16"/>
      <c r="D26" s="18"/>
      <c r="E26" s="6">
        <v>3</v>
      </c>
      <c r="F26" s="7">
        <v>0.94499999999999995</v>
      </c>
      <c r="G26" s="7">
        <v>0.93989999999999996</v>
      </c>
      <c r="H26" s="7">
        <v>0.98450000000000004</v>
      </c>
      <c r="I26" s="7">
        <v>0.85160000000000002</v>
      </c>
      <c r="J26" s="7">
        <v>0.85470000000000002</v>
      </c>
      <c r="K26" s="7">
        <v>0.95899999999999996</v>
      </c>
      <c r="L26" s="7">
        <v>0.95169999999999999</v>
      </c>
      <c r="M26" s="7">
        <v>0.75029999999999997</v>
      </c>
      <c r="N26" s="7">
        <v>0.68069999999999997</v>
      </c>
      <c r="O26" s="7">
        <v>0.7379</v>
      </c>
      <c r="P26" s="7">
        <v>0.99560000000000004</v>
      </c>
      <c r="Q26" s="7">
        <f t="shared" si="5"/>
        <v>0.8773545454545455</v>
      </c>
      <c r="R26" s="19"/>
    </row>
    <row r="27" spans="1:19" ht="30" customHeight="1">
      <c r="A27" s="12"/>
      <c r="B27" s="14"/>
      <c r="C27" s="16"/>
      <c r="D27" s="18"/>
      <c r="E27" s="6">
        <v>4</v>
      </c>
      <c r="F27" s="7">
        <v>0.87490000000000001</v>
      </c>
      <c r="G27" s="7">
        <v>0.93320000000000003</v>
      </c>
      <c r="H27" s="7">
        <v>0.98240000000000005</v>
      </c>
      <c r="I27" s="7">
        <v>0.85629999999999995</v>
      </c>
      <c r="J27" s="7">
        <v>0.85970000000000002</v>
      </c>
      <c r="K27" s="7">
        <v>0.94140000000000001</v>
      </c>
      <c r="L27" s="7">
        <v>0.94269999999999998</v>
      </c>
      <c r="M27" s="7">
        <v>0.71509999999999996</v>
      </c>
      <c r="N27" s="7">
        <v>0.69779999999999998</v>
      </c>
      <c r="O27" s="7">
        <v>0.74909999999999999</v>
      </c>
      <c r="P27" s="7">
        <v>0.99470000000000003</v>
      </c>
      <c r="Q27" s="7">
        <f t="shared" si="5"/>
        <v>0.86793636363636362</v>
      </c>
      <c r="R27" s="19"/>
    </row>
    <row r="28" spans="1:19" ht="30" customHeight="1">
      <c r="A28" s="12"/>
      <c r="B28" s="15"/>
      <c r="C28" s="16"/>
      <c r="D28" s="18"/>
      <c r="E28" s="6" t="s">
        <v>0</v>
      </c>
      <c r="F28" s="7">
        <f>AVERAGE(F23:F27)</f>
        <v>0.90681999999999996</v>
      </c>
      <c r="G28" s="7">
        <f t="shared" ref="G28" si="6">AVERAGE(G23:G27)</f>
        <v>0.92596000000000012</v>
      </c>
      <c r="H28" s="7">
        <f t="shared" ref="H28" si="7">AVERAGE(H23:H27)</f>
        <v>0.98248000000000002</v>
      </c>
      <c r="I28" s="7">
        <f t="shared" ref="I28" si="8">AVERAGE(I23:I27)</f>
        <v>0.84951999999999983</v>
      </c>
      <c r="J28" s="7">
        <f t="shared" ref="J28" si="9">AVERAGE(J23:J27)</f>
        <v>0.84967999999999999</v>
      </c>
      <c r="K28" s="7">
        <f t="shared" ref="K28" si="10">AVERAGE(K23:K27)</f>
        <v>0.95337999999999989</v>
      </c>
      <c r="L28" s="7">
        <f t="shared" ref="L28" si="11">AVERAGE(L23:L27)</f>
        <v>0.94754000000000005</v>
      </c>
      <c r="M28" s="7">
        <f t="shared" ref="M28" si="12">AVERAGE(M23:M27)</f>
        <v>0.72988000000000008</v>
      </c>
      <c r="N28" s="7">
        <f t="shared" ref="N28" si="13">AVERAGE(N23:N27)</f>
        <v>0.69525999999999999</v>
      </c>
      <c r="O28" s="7">
        <f t="shared" ref="O28" si="14">AVERAGE(O23:O27)</f>
        <v>0.73165999999999998</v>
      </c>
      <c r="P28" s="7">
        <f>AVERAGE(P23:P27)</f>
        <v>0.99364000000000008</v>
      </c>
      <c r="Q28" s="7">
        <f>AVERAGE(F28:P28)</f>
        <v>0.86962000000000017</v>
      </c>
      <c r="R28" s="19"/>
    </row>
    <row r="29" spans="1:19" ht="30" customHeight="1">
      <c r="A29" s="12">
        <v>44253</v>
      </c>
      <c r="B29" s="13" t="s">
        <v>41</v>
      </c>
      <c r="C29" s="16" t="s">
        <v>42</v>
      </c>
      <c r="D29" s="18" t="s">
        <v>6</v>
      </c>
      <c r="E29" s="6">
        <v>0</v>
      </c>
      <c r="F29" s="7">
        <v>0.97719999999999996</v>
      </c>
      <c r="G29" s="7">
        <v>0.9466</v>
      </c>
      <c r="H29" s="7">
        <v>0.98799999999999999</v>
      </c>
      <c r="I29" s="7">
        <v>0.8992</v>
      </c>
      <c r="J29" s="7">
        <v>0.92430000000000001</v>
      </c>
      <c r="K29" s="7">
        <v>0.9698</v>
      </c>
      <c r="L29" s="7">
        <v>0.9748</v>
      </c>
      <c r="M29" s="7">
        <v>0.86929999999999996</v>
      </c>
      <c r="N29" s="7">
        <v>0.78490000000000004</v>
      </c>
      <c r="O29" s="7">
        <v>0.84060000000000001</v>
      </c>
      <c r="P29" s="7">
        <v>0.99919999999999998</v>
      </c>
      <c r="Q29" s="7">
        <f t="shared" ref="Q29:Q33" si="15">AVERAGE(F29:P29)</f>
        <v>0.92489999999999994</v>
      </c>
      <c r="R29" s="19"/>
    </row>
    <row r="30" spans="1:19" ht="30" customHeight="1">
      <c r="A30" s="12"/>
      <c r="B30" s="14"/>
      <c r="C30" s="16"/>
      <c r="D30" s="18"/>
      <c r="E30" s="6">
        <v>1</v>
      </c>
      <c r="F30" s="7">
        <v>0.89339999999999997</v>
      </c>
      <c r="G30" s="7">
        <v>0.94079999999999997</v>
      </c>
      <c r="H30" s="7">
        <v>0.98919999999999997</v>
      </c>
      <c r="I30" s="7">
        <v>0.92959999999999998</v>
      </c>
      <c r="J30" s="7">
        <v>0.90659999999999996</v>
      </c>
      <c r="K30" s="7">
        <v>0.96860000000000002</v>
      </c>
      <c r="L30" s="7">
        <v>0.97609999999999997</v>
      </c>
      <c r="M30" s="7">
        <v>0.87370000000000003</v>
      </c>
      <c r="N30" s="7">
        <v>0.80169999999999997</v>
      </c>
      <c r="O30" s="7">
        <v>0.85060000000000002</v>
      </c>
      <c r="P30" s="7">
        <v>0.99909999999999999</v>
      </c>
      <c r="Q30" s="7">
        <f t="shared" si="15"/>
        <v>0.92085454545454548</v>
      </c>
      <c r="R30" s="19"/>
    </row>
    <row r="31" spans="1:19" ht="30" customHeight="1">
      <c r="A31" s="12"/>
      <c r="B31" s="14"/>
      <c r="C31" s="16"/>
      <c r="D31" s="18"/>
      <c r="E31" s="6">
        <v>2</v>
      </c>
      <c r="F31" s="7">
        <v>0.97629999999999995</v>
      </c>
      <c r="G31" s="7">
        <v>0.93469999999999998</v>
      </c>
      <c r="H31" s="7">
        <v>0.98660000000000003</v>
      </c>
      <c r="I31" s="7">
        <v>0.89290000000000003</v>
      </c>
      <c r="J31" s="7">
        <v>0.91579999999999995</v>
      </c>
      <c r="K31" s="7">
        <v>0.97260000000000002</v>
      </c>
      <c r="L31" s="7">
        <v>0.97809999999999997</v>
      </c>
      <c r="M31" s="7">
        <v>0.85460000000000003</v>
      </c>
      <c r="N31" s="7">
        <v>0.79120000000000001</v>
      </c>
      <c r="O31" s="7">
        <v>0.85660000000000003</v>
      </c>
      <c r="P31" s="7">
        <v>0.99790000000000001</v>
      </c>
      <c r="Q31" s="7">
        <f t="shared" si="15"/>
        <v>0.92339090909090904</v>
      </c>
      <c r="R31" s="19"/>
    </row>
    <row r="32" spans="1:19" ht="30" customHeight="1">
      <c r="A32" s="12"/>
      <c r="B32" s="14"/>
      <c r="C32" s="16"/>
      <c r="D32" s="18"/>
      <c r="E32" s="6">
        <v>3</v>
      </c>
      <c r="F32" s="7">
        <v>0.95389999999999997</v>
      </c>
      <c r="G32" s="7">
        <v>0.94579999999999997</v>
      </c>
      <c r="H32" s="7">
        <v>0.98780000000000001</v>
      </c>
      <c r="I32" s="7">
        <v>0.89680000000000004</v>
      </c>
      <c r="J32" s="7">
        <v>0.93500000000000005</v>
      </c>
      <c r="K32" s="7">
        <v>0.97230000000000005</v>
      </c>
      <c r="L32" s="7">
        <v>0.97870000000000001</v>
      </c>
      <c r="M32" s="7">
        <v>0.87570000000000003</v>
      </c>
      <c r="N32" s="7">
        <v>0.80649999999999999</v>
      </c>
      <c r="O32" s="7">
        <v>0.86839999999999995</v>
      </c>
      <c r="P32" s="7">
        <v>0.99609999999999999</v>
      </c>
      <c r="Q32" s="7">
        <f t="shared" si="15"/>
        <v>0.92881818181818188</v>
      </c>
      <c r="R32" s="19"/>
    </row>
    <row r="33" spans="1:19" ht="30" customHeight="1">
      <c r="A33" s="12"/>
      <c r="B33" s="14"/>
      <c r="C33" s="16"/>
      <c r="D33" s="18"/>
      <c r="E33" s="6">
        <v>4</v>
      </c>
      <c r="F33" s="7">
        <v>0.93659999999999999</v>
      </c>
      <c r="G33" s="7">
        <v>0.95040000000000002</v>
      </c>
      <c r="H33" s="7">
        <v>0.98929999999999996</v>
      </c>
      <c r="I33" s="7">
        <v>0.92710000000000004</v>
      </c>
      <c r="J33" s="7">
        <v>0.90739999999999998</v>
      </c>
      <c r="K33" s="7">
        <v>0.96730000000000005</v>
      </c>
      <c r="L33" s="7">
        <v>0.97189999999999999</v>
      </c>
      <c r="M33" s="7">
        <v>0.84250000000000003</v>
      </c>
      <c r="N33" s="7">
        <v>0.79349999999999998</v>
      </c>
      <c r="O33" s="7">
        <v>0.87060000000000004</v>
      </c>
      <c r="P33" s="7">
        <v>0.997</v>
      </c>
      <c r="Q33" s="7">
        <f t="shared" si="15"/>
        <v>0.92305454545454535</v>
      </c>
      <c r="R33" s="19"/>
    </row>
    <row r="34" spans="1:19" ht="30" customHeight="1">
      <c r="A34" s="12"/>
      <c r="B34" s="15"/>
      <c r="C34" s="16"/>
      <c r="D34" s="18"/>
      <c r="E34" s="6" t="s">
        <v>0</v>
      </c>
      <c r="F34" s="7">
        <f>AVERAGE(F29:F33)</f>
        <v>0.94747999999999999</v>
      </c>
      <c r="G34" s="7">
        <f t="shared" ref="G34" si="16">AVERAGE(G29:G33)</f>
        <v>0.94366000000000005</v>
      </c>
      <c r="H34" s="7">
        <f t="shared" ref="H34" si="17">AVERAGE(H29:H33)</f>
        <v>0.98818000000000006</v>
      </c>
      <c r="I34" s="7">
        <f t="shared" ref="I34" si="18">AVERAGE(I29:I33)</f>
        <v>0.90912000000000004</v>
      </c>
      <c r="J34" s="7">
        <f t="shared" ref="J34" si="19">AVERAGE(J29:J33)</f>
        <v>0.91782000000000008</v>
      </c>
      <c r="K34" s="7">
        <f t="shared" ref="K34" si="20">AVERAGE(K29:K33)</f>
        <v>0.97011999999999998</v>
      </c>
      <c r="L34" s="7">
        <f t="shared" ref="L34" si="21">AVERAGE(L29:L33)</f>
        <v>0.97592000000000001</v>
      </c>
      <c r="M34" s="7">
        <f t="shared" ref="M34" si="22">AVERAGE(M29:M33)</f>
        <v>0.86316000000000004</v>
      </c>
      <c r="N34" s="7">
        <f t="shared" ref="N34" si="23">AVERAGE(N29:N33)</f>
        <v>0.79556000000000004</v>
      </c>
      <c r="O34" s="7">
        <f t="shared" ref="O34" si="24">AVERAGE(O29:O33)</f>
        <v>0.8573599999999999</v>
      </c>
      <c r="P34" s="7">
        <f>AVERAGE(P29:P33)</f>
        <v>0.99785999999999997</v>
      </c>
      <c r="Q34" s="7">
        <f>AVERAGE(F34:P34)</f>
        <v>0.92420363636363623</v>
      </c>
      <c r="R34" s="19"/>
    </row>
    <row r="35" spans="1:19" ht="30" customHeight="1">
      <c r="A35" s="12">
        <v>44256</v>
      </c>
      <c r="B35" s="13" t="s">
        <v>43</v>
      </c>
      <c r="C35" s="16" t="s">
        <v>44</v>
      </c>
      <c r="D35" s="18" t="s">
        <v>6</v>
      </c>
      <c r="E35" s="6">
        <v>0</v>
      </c>
      <c r="F35" s="7">
        <v>0.98199999999999998</v>
      </c>
      <c r="G35" s="7">
        <v>0.95040000000000002</v>
      </c>
      <c r="H35" s="7">
        <v>0.98860000000000003</v>
      </c>
      <c r="I35" s="7">
        <v>0.91649999999999998</v>
      </c>
      <c r="J35" s="7">
        <v>0.94599999999999995</v>
      </c>
      <c r="K35" s="7">
        <v>0.9778</v>
      </c>
      <c r="L35" s="7">
        <v>0.98109999999999997</v>
      </c>
      <c r="M35" s="7">
        <v>0.87719999999999998</v>
      </c>
      <c r="N35" s="7">
        <v>0.81530000000000002</v>
      </c>
      <c r="O35" s="7">
        <v>0.88029999999999997</v>
      </c>
      <c r="P35" s="7">
        <v>0.99850000000000005</v>
      </c>
      <c r="Q35" s="7">
        <f t="shared" ref="Q35:Q39" si="25">AVERAGE(F35:P35)</f>
        <v>0.93760909090909095</v>
      </c>
      <c r="R35" s="19">
        <v>0.95099999999999996</v>
      </c>
      <c r="S35" t="s">
        <v>45</v>
      </c>
    </row>
    <row r="36" spans="1:19" ht="30" customHeight="1">
      <c r="A36" s="12"/>
      <c r="B36" s="14"/>
      <c r="C36" s="16"/>
      <c r="D36" s="18"/>
      <c r="E36" s="6">
        <v>1</v>
      </c>
      <c r="F36" s="7">
        <v>0.90539999999999998</v>
      </c>
      <c r="G36" s="7">
        <v>0.95889999999999997</v>
      </c>
      <c r="H36" s="7">
        <v>0.99239999999999995</v>
      </c>
      <c r="I36" s="7">
        <v>0.9375</v>
      </c>
      <c r="J36" s="7">
        <v>0.94750000000000001</v>
      </c>
      <c r="K36" s="7">
        <v>0.9829</v>
      </c>
      <c r="L36" s="7">
        <v>0.98599999999999999</v>
      </c>
      <c r="M36" s="7">
        <v>0.89159999999999995</v>
      </c>
      <c r="N36" s="7">
        <v>0.82099999999999995</v>
      </c>
      <c r="O36" s="7">
        <v>0.87419999999999998</v>
      </c>
      <c r="P36" s="7">
        <v>0.99960000000000004</v>
      </c>
      <c r="Q36" s="7">
        <f t="shared" si="25"/>
        <v>0.9360909090909092</v>
      </c>
      <c r="R36" s="19"/>
      <c r="S36" t="s">
        <v>46</v>
      </c>
    </row>
    <row r="37" spans="1:19" ht="30" customHeight="1">
      <c r="A37" s="12"/>
      <c r="B37" s="14"/>
      <c r="C37" s="16"/>
      <c r="D37" s="18"/>
      <c r="E37" s="6">
        <v>2</v>
      </c>
      <c r="F37" s="7">
        <v>0.97829999999999995</v>
      </c>
      <c r="G37" s="7">
        <v>0.95040000000000002</v>
      </c>
      <c r="H37" s="7">
        <v>0.98960000000000004</v>
      </c>
      <c r="I37" s="7">
        <v>0.92110000000000003</v>
      </c>
      <c r="J37" s="7">
        <v>0.93669999999999998</v>
      </c>
      <c r="K37" s="7">
        <v>0.97729999999999995</v>
      </c>
      <c r="L37" s="7">
        <v>0.98240000000000005</v>
      </c>
      <c r="M37" s="7">
        <v>0.87690000000000001</v>
      </c>
      <c r="N37" s="7">
        <v>0.81579999999999997</v>
      </c>
      <c r="O37" s="7">
        <v>0.88249999999999995</v>
      </c>
      <c r="P37" s="7">
        <v>0.99829999999999997</v>
      </c>
      <c r="Q37" s="7">
        <f t="shared" si="25"/>
        <v>0.93720909090909099</v>
      </c>
      <c r="R37" s="19"/>
    </row>
    <row r="38" spans="1:19" ht="30" customHeight="1">
      <c r="A38" s="12"/>
      <c r="B38" s="14"/>
      <c r="C38" s="16"/>
      <c r="D38" s="18"/>
      <c r="E38" s="6">
        <v>3</v>
      </c>
      <c r="F38" s="7">
        <v>0.96970000000000001</v>
      </c>
      <c r="G38" s="7">
        <v>0.95020000000000004</v>
      </c>
      <c r="H38" s="7">
        <v>0.98939999999999995</v>
      </c>
      <c r="I38" s="7">
        <v>0.92400000000000004</v>
      </c>
      <c r="J38" s="7">
        <v>0.94230000000000003</v>
      </c>
      <c r="K38" s="7">
        <v>0.97660000000000002</v>
      </c>
      <c r="L38" s="7">
        <v>0.98250000000000004</v>
      </c>
      <c r="M38" s="7">
        <v>0.90780000000000005</v>
      </c>
      <c r="N38" s="7">
        <v>0.82920000000000005</v>
      </c>
      <c r="O38" s="7">
        <v>0.90029999999999999</v>
      </c>
      <c r="P38" s="7">
        <v>0.99670000000000003</v>
      </c>
      <c r="Q38" s="7">
        <f t="shared" si="25"/>
        <v>0.94260909090909095</v>
      </c>
      <c r="R38" s="19"/>
    </row>
    <row r="39" spans="1:19" ht="30" customHeight="1">
      <c r="A39" s="12"/>
      <c r="B39" s="14"/>
      <c r="C39" s="16"/>
      <c r="D39" s="18"/>
      <c r="E39" s="6">
        <v>4</v>
      </c>
      <c r="F39" s="7">
        <v>0.9728</v>
      </c>
      <c r="G39" s="7">
        <v>0.95079999999999998</v>
      </c>
      <c r="H39" s="7">
        <v>0.98880000000000001</v>
      </c>
      <c r="I39" s="7">
        <v>0.93600000000000005</v>
      </c>
      <c r="J39" s="7">
        <v>0.9355</v>
      </c>
      <c r="K39" s="7">
        <v>0.97719999999999996</v>
      </c>
      <c r="L39" s="7">
        <v>0.97809999999999997</v>
      </c>
      <c r="M39" s="7">
        <v>0.85940000000000005</v>
      </c>
      <c r="N39" s="7">
        <v>0.80369999999999997</v>
      </c>
      <c r="O39" s="7">
        <v>0.88639999999999997</v>
      </c>
      <c r="P39" s="7">
        <v>0.99819999999999998</v>
      </c>
      <c r="Q39" s="7">
        <f t="shared" si="25"/>
        <v>0.93517272727272738</v>
      </c>
      <c r="R39" s="19"/>
    </row>
    <row r="40" spans="1:19" ht="30" customHeight="1">
      <c r="A40" s="12"/>
      <c r="B40" s="15"/>
      <c r="C40" s="16"/>
      <c r="D40" s="18"/>
      <c r="E40" s="6" t="s">
        <v>0</v>
      </c>
      <c r="F40" s="7">
        <f>AVERAGE(F35:F39)</f>
        <v>0.96164000000000005</v>
      </c>
      <c r="G40" s="7">
        <f t="shared" ref="G40" si="26">AVERAGE(G35:G39)</f>
        <v>0.95213999999999999</v>
      </c>
      <c r="H40" s="7">
        <f t="shared" ref="H40" si="27">AVERAGE(H35:H39)</f>
        <v>0.98976000000000008</v>
      </c>
      <c r="I40" s="7">
        <f t="shared" ref="I40" si="28">AVERAGE(I35:I39)</f>
        <v>0.92702000000000007</v>
      </c>
      <c r="J40" s="7">
        <f t="shared" ref="J40" si="29">AVERAGE(J35:J39)</f>
        <v>0.94159999999999999</v>
      </c>
      <c r="K40" s="7">
        <f t="shared" ref="K40" si="30">AVERAGE(K35:K39)</f>
        <v>0.97836000000000001</v>
      </c>
      <c r="L40" s="7">
        <f t="shared" ref="L40" si="31">AVERAGE(L35:L39)</f>
        <v>0.98202</v>
      </c>
      <c r="M40" s="7">
        <f t="shared" ref="M40" si="32">AVERAGE(M35:M39)</f>
        <v>0.88257999999999992</v>
      </c>
      <c r="N40" s="7">
        <f t="shared" ref="N40" si="33">AVERAGE(N35:N39)</f>
        <v>0.81699999999999995</v>
      </c>
      <c r="O40" s="7">
        <f t="shared" ref="O40" si="34">AVERAGE(O35:O39)</f>
        <v>0.88474000000000008</v>
      </c>
      <c r="P40" s="7">
        <f>AVERAGE(P35:P39)</f>
        <v>0.99825999999999993</v>
      </c>
      <c r="Q40" s="7">
        <f>AVERAGE(F40:P40)</f>
        <v>0.93773818181818203</v>
      </c>
      <c r="R40" s="19"/>
    </row>
    <row r="41" spans="1:19" ht="30" customHeight="1">
      <c r="A41" s="12">
        <v>44257</v>
      </c>
      <c r="B41" s="13" t="s">
        <v>47</v>
      </c>
      <c r="C41" s="16" t="s">
        <v>49</v>
      </c>
      <c r="D41" s="17" t="s">
        <v>48</v>
      </c>
      <c r="E41" s="8">
        <v>0</v>
      </c>
      <c r="F41" s="7">
        <v>0.97250000000000003</v>
      </c>
      <c r="G41" s="7">
        <v>0.95550000000000002</v>
      </c>
      <c r="H41" s="7">
        <v>0.98709999999999998</v>
      </c>
      <c r="I41" s="7">
        <v>0.879</v>
      </c>
      <c r="J41" s="7">
        <v>0.90159999999999996</v>
      </c>
      <c r="K41" s="7">
        <v>0.97409999999999997</v>
      </c>
      <c r="L41" s="7">
        <v>0.97909999999999997</v>
      </c>
      <c r="M41" s="7">
        <v>0.90620000000000001</v>
      </c>
      <c r="N41" s="7">
        <v>0.82830000000000004</v>
      </c>
      <c r="O41" s="7">
        <v>0.89100000000000001</v>
      </c>
      <c r="P41" s="7">
        <v>0.99819999999999998</v>
      </c>
      <c r="Q41" s="7">
        <f t="shared" ref="Q41:Q45" si="35">AVERAGE(F41:P41)</f>
        <v>0.9338727272727273</v>
      </c>
      <c r="R41" s="19">
        <v>0.95599999999999996</v>
      </c>
    </row>
    <row r="42" spans="1:19" ht="30" customHeight="1">
      <c r="A42" s="12"/>
      <c r="B42" s="14"/>
      <c r="C42" s="16"/>
      <c r="D42" s="18"/>
      <c r="E42" s="8">
        <v>1</v>
      </c>
      <c r="F42" s="7">
        <v>0.91439999999999999</v>
      </c>
      <c r="G42" s="7">
        <v>0.95569999999999999</v>
      </c>
      <c r="H42" s="7">
        <v>0.99119999999999997</v>
      </c>
      <c r="I42" s="7">
        <v>0.91110000000000002</v>
      </c>
      <c r="J42" s="7">
        <v>0.89280000000000004</v>
      </c>
      <c r="K42" s="7">
        <v>0.97340000000000004</v>
      </c>
      <c r="L42" s="7">
        <v>0.98109999999999997</v>
      </c>
      <c r="M42" s="7">
        <v>0.91300000000000003</v>
      </c>
      <c r="N42" s="7">
        <v>0.82669999999999999</v>
      </c>
      <c r="O42" s="7">
        <v>0.8901</v>
      </c>
      <c r="P42" s="7">
        <v>0.99950000000000006</v>
      </c>
      <c r="Q42" s="7">
        <f t="shared" si="35"/>
        <v>0.93172727272727274</v>
      </c>
      <c r="R42" s="19"/>
    </row>
    <row r="43" spans="1:19" ht="30" customHeight="1">
      <c r="A43" s="12"/>
      <c r="B43" s="14"/>
      <c r="C43" s="16"/>
      <c r="D43" s="18"/>
      <c r="E43" s="8">
        <v>2</v>
      </c>
      <c r="F43" s="7">
        <v>0.98919999999999997</v>
      </c>
      <c r="G43" s="7">
        <v>0.94</v>
      </c>
      <c r="H43" s="7">
        <v>0.98929999999999996</v>
      </c>
      <c r="I43" s="7">
        <v>0.86929999999999996</v>
      </c>
      <c r="J43" s="7">
        <v>0.89090000000000003</v>
      </c>
      <c r="K43" s="7">
        <v>0.97729999999999995</v>
      </c>
      <c r="L43" s="7">
        <v>0.98060000000000003</v>
      </c>
      <c r="M43" s="7">
        <v>0.88529999999999998</v>
      </c>
      <c r="N43" s="7">
        <v>0.8135</v>
      </c>
      <c r="O43" s="7">
        <v>0.88619999999999999</v>
      </c>
      <c r="P43" s="7">
        <v>0.99739999999999995</v>
      </c>
      <c r="Q43" s="7">
        <f t="shared" si="35"/>
        <v>0.92900000000000016</v>
      </c>
      <c r="R43" s="19"/>
    </row>
    <row r="44" spans="1:19" ht="30" customHeight="1">
      <c r="A44" s="12"/>
      <c r="B44" s="14"/>
      <c r="C44" s="16"/>
      <c r="D44" s="18"/>
      <c r="E44" s="8">
        <v>3</v>
      </c>
      <c r="F44" s="7">
        <v>0.96970000000000001</v>
      </c>
      <c r="G44" s="7">
        <v>0.95340000000000003</v>
      </c>
      <c r="H44" s="7">
        <v>0.99009999999999998</v>
      </c>
      <c r="I44" s="7">
        <v>0.92320000000000002</v>
      </c>
      <c r="J44" s="7">
        <v>0.93930000000000002</v>
      </c>
      <c r="K44" s="7">
        <v>0.98089999999999999</v>
      </c>
      <c r="L44" s="7">
        <v>0.98460000000000003</v>
      </c>
      <c r="M44" s="7">
        <v>0.90849999999999997</v>
      </c>
      <c r="N44" s="7">
        <v>0.83779999999999999</v>
      </c>
      <c r="O44" s="7">
        <v>0.9123</v>
      </c>
      <c r="P44" s="7">
        <v>0.99270000000000003</v>
      </c>
      <c r="Q44" s="7">
        <f t="shared" si="35"/>
        <v>0.94477272727272732</v>
      </c>
      <c r="R44" s="19"/>
    </row>
    <row r="45" spans="1:19" ht="30" customHeight="1">
      <c r="A45" s="12"/>
      <c r="B45" s="14"/>
      <c r="C45" s="16"/>
      <c r="D45" s="18"/>
      <c r="E45" s="8">
        <v>4</v>
      </c>
      <c r="F45" s="7">
        <v>0.94430000000000003</v>
      </c>
      <c r="G45" s="7">
        <v>0.95109999999999995</v>
      </c>
      <c r="H45" s="7">
        <v>0.98929999999999996</v>
      </c>
      <c r="I45" s="7">
        <v>0.92159999999999997</v>
      </c>
      <c r="J45" s="7">
        <v>0.90380000000000005</v>
      </c>
      <c r="K45" s="7">
        <v>0.97330000000000005</v>
      </c>
      <c r="L45" s="7">
        <v>0.97060000000000002</v>
      </c>
      <c r="M45" s="7">
        <v>0.89259999999999995</v>
      </c>
      <c r="N45" s="7">
        <v>0.82099999999999995</v>
      </c>
      <c r="O45" s="7">
        <v>0.90649999999999997</v>
      </c>
      <c r="P45" s="7">
        <v>0.99860000000000004</v>
      </c>
      <c r="Q45" s="7">
        <f t="shared" si="35"/>
        <v>0.93388181818181826</v>
      </c>
      <c r="R45" s="19"/>
    </row>
    <row r="46" spans="1:19" ht="30" customHeight="1">
      <c r="A46" s="12"/>
      <c r="B46" s="15"/>
      <c r="C46" s="16"/>
      <c r="D46" s="18"/>
      <c r="E46" s="8" t="s">
        <v>0</v>
      </c>
      <c r="F46" s="7">
        <f>AVERAGE(F41:F45)</f>
        <v>0.95801999999999998</v>
      </c>
      <c r="G46" s="7">
        <f t="shared" ref="G46:O46" si="36">AVERAGE(G41:G45)</f>
        <v>0.95113999999999999</v>
      </c>
      <c r="H46" s="7">
        <f t="shared" si="36"/>
        <v>0.98940000000000006</v>
      </c>
      <c r="I46" s="7">
        <f t="shared" si="36"/>
        <v>0.90083999999999997</v>
      </c>
      <c r="J46" s="7">
        <f t="shared" si="36"/>
        <v>0.90568000000000004</v>
      </c>
      <c r="K46" s="7">
        <f t="shared" si="36"/>
        <v>0.97579999999999989</v>
      </c>
      <c r="L46" s="7">
        <f t="shared" si="36"/>
        <v>0.97919999999999996</v>
      </c>
      <c r="M46" s="7">
        <f t="shared" si="36"/>
        <v>0.90112000000000003</v>
      </c>
      <c r="N46" s="7">
        <f t="shared" si="36"/>
        <v>0.82545999999999997</v>
      </c>
      <c r="O46" s="7">
        <f t="shared" si="36"/>
        <v>0.89722000000000013</v>
      </c>
      <c r="P46" s="7">
        <f>AVERAGE(P41:P45)</f>
        <v>0.99727999999999994</v>
      </c>
      <c r="Q46" s="7">
        <f>AVERAGE(F46:P46)</f>
        <v>0.93465090909090909</v>
      </c>
      <c r="R46" s="19"/>
    </row>
    <row r="47" spans="1:19" ht="30" customHeight="1">
      <c r="A47" s="12">
        <v>44261</v>
      </c>
      <c r="B47" s="13" t="s">
        <v>50</v>
      </c>
      <c r="C47" s="16" t="s">
        <v>51</v>
      </c>
      <c r="D47" s="17" t="s">
        <v>52</v>
      </c>
      <c r="E47" s="9">
        <v>0</v>
      </c>
      <c r="F47" s="7">
        <v>0.98170000000000002</v>
      </c>
      <c r="G47" s="7">
        <v>0.95489999999999997</v>
      </c>
      <c r="H47" s="7">
        <v>0.98850000000000005</v>
      </c>
      <c r="I47" s="7">
        <v>0.94450000000000001</v>
      </c>
      <c r="J47" s="7">
        <v>0.9405</v>
      </c>
      <c r="K47" s="7">
        <v>0.97799999999999998</v>
      </c>
      <c r="L47" s="7">
        <v>0.98309999999999997</v>
      </c>
      <c r="M47" s="7">
        <v>0.89829999999999999</v>
      </c>
      <c r="N47" s="7">
        <v>0.81030000000000002</v>
      </c>
      <c r="O47" s="7">
        <v>0.88539999999999996</v>
      </c>
      <c r="P47" s="7">
        <v>0.99980000000000002</v>
      </c>
      <c r="Q47" s="7">
        <f t="shared" ref="Q47:Q51" si="37">AVERAGE(F47:P47)</f>
        <v>0.94227272727272748</v>
      </c>
      <c r="R47" s="19">
        <v>0.95599999999999996</v>
      </c>
    </row>
    <row r="48" spans="1:19" ht="30" customHeight="1">
      <c r="A48" s="12"/>
      <c r="B48" s="14"/>
      <c r="C48" s="16"/>
      <c r="D48" s="18"/>
      <c r="E48" s="9">
        <v>1</v>
      </c>
      <c r="F48" s="7">
        <v>0.91669999999999996</v>
      </c>
      <c r="G48" s="7">
        <v>0.95499999999999996</v>
      </c>
      <c r="H48" s="7">
        <v>0.99099999999999999</v>
      </c>
      <c r="I48" s="7">
        <v>0.93930000000000002</v>
      </c>
      <c r="J48" s="7">
        <v>0.95050000000000001</v>
      </c>
      <c r="K48" s="7">
        <v>0.98319999999999996</v>
      </c>
      <c r="L48" s="7">
        <v>0.98480000000000001</v>
      </c>
      <c r="M48" s="7">
        <v>0.90229999999999999</v>
      </c>
      <c r="N48" s="7">
        <v>0.83079999999999998</v>
      </c>
      <c r="O48" s="7">
        <v>0.88190000000000002</v>
      </c>
      <c r="P48" s="7">
        <v>0.99809999999999999</v>
      </c>
      <c r="Q48" s="7">
        <f t="shared" si="37"/>
        <v>0.93941818181818182</v>
      </c>
      <c r="R48" s="19"/>
    </row>
    <row r="49" spans="1:18" ht="30" customHeight="1">
      <c r="A49" s="12"/>
      <c r="B49" s="14"/>
      <c r="C49" s="16"/>
      <c r="D49" s="18"/>
      <c r="E49" s="9">
        <v>2</v>
      </c>
      <c r="F49" s="7">
        <v>0.97309999999999997</v>
      </c>
      <c r="G49" s="7">
        <v>0.94510000000000005</v>
      </c>
      <c r="H49" s="7">
        <v>0.98809999999999998</v>
      </c>
      <c r="I49" s="7">
        <v>0.92</v>
      </c>
      <c r="J49" s="7">
        <v>0.94579999999999997</v>
      </c>
      <c r="K49" s="7">
        <v>0.97619999999999996</v>
      </c>
      <c r="L49" s="7">
        <v>0.98409999999999997</v>
      </c>
      <c r="M49" s="7">
        <v>0.87680000000000002</v>
      </c>
      <c r="N49" s="7">
        <v>0.80959999999999999</v>
      </c>
      <c r="O49" s="7">
        <v>0.87439999999999996</v>
      </c>
      <c r="P49" s="7">
        <v>0.99590000000000001</v>
      </c>
      <c r="Q49" s="7">
        <f t="shared" si="37"/>
        <v>0.93537272727272736</v>
      </c>
      <c r="R49" s="19"/>
    </row>
    <row r="50" spans="1:18" ht="30" customHeight="1">
      <c r="A50" s="12"/>
      <c r="B50" s="14"/>
      <c r="C50" s="16"/>
      <c r="D50" s="18"/>
      <c r="E50" s="9">
        <v>3</v>
      </c>
      <c r="F50" s="7">
        <v>0.96630000000000005</v>
      </c>
      <c r="G50" s="7">
        <v>0.95579999999999998</v>
      </c>
      <c r="H50" s="7">
        <v>0.98939999999999995</v>
      </c>
      <c r="I50" s="7">
        <v>0.94650000000000001</v>
      </c>
      <c r="J50" s="7">
        <v>0.95789999999999997</v>
      </c>
      <c r="K50" s="7">
        <v>0.97870000000000001</v>
      </c>
      <c r="L50" s="7">
        <v>0.98499999999999999</v>
      </c>
      <c r="M50" s="7">
        <v>0.89880000000000004</v>
      </c>
      <c r="N50" s="7">
        <v>0.83030000000000004</v>
      </c>
      <c r="O50" s="7">
        <v>0.89729999999999999</v>
      </c>
      <c r="P50" s="7">
        <v>0.99650000000000005</v>
      </c>
      <c r="Q50" s="7">
        <f t="shared" si="37"/>
        <v>0.94568181818181796</v>
      </c>
      <c r="R50" s="19"/>
    </row>
    <row r="51" spans="1:18" ht="30" customHeight="1">
      <c r="A51" s="12"/>
      <c r="B51" s="14"/>
      <c r="C51" s="16"/>
      <c r="D51" s="18"/>
      <c r="E51" s="9">
        <v>4</v>
      </c>
      <c r="F51" s="7">
        <v>0.97340000000000004</v>
      </c>
      <c r="G51" s="7">
        <v>0.95340000000000003</v>
      </c>
      <c r="H51" s="7">
        <v>0.98980000000000001</v>
      </c>
      <c r="I51" s="7">
        <v>0.96430000000000005</v>
      </c>
      <c r="J51" s="7">
        <v>0.95040000000000002</v>
      </c>
      <c r="K51" s="7">
        <v>0.98029999999999995</v>
      </c>
      <c r="L51" s="7">
        <v>0.98019999999999996</v>
      </c>
      <c r="M51" s="7">
        <v>0.87839999999999996</v>
      </c>
      <c r="N51" s="7">
        <v>0.81410000000000005</v>
      </c>
      <c r="O51" s="7">
        <v>0.89610000000000001</v>
      </c>
      <c r="P51" s="7">
        <v>0.99909999999999999</v>
      </c>
      <c r="Q51" s="7">
        <f t="shared" si="37"/>
        <v>0.94359090909090915</v>
      </c>
      <c r="R51" s="19"/>
    </row>
    <row r="52" spans="1:18" ht="30" customHeight="1">
      <c r="A52" s="12"/>
      <c r="B52" s="15"/>
      <c r="C52" s="16"/>
      <c r="D52" s="18"/>
      <c r="E52" s="9" t="s">
        <v>0</v>
      </c>
      <c r="F52" s="7">
        <f>AVERAGE(F47:F51)</f>
        <v>0.9622400000000001</v>
      </c>
      <c r="G52" s="7">
        <f t="shared" ref="G52:O52" si="38">AVERAGE(G47:G51)</f>
        <v>0.95283999999999991</v>
      </c>
      <c r="H52" s="7">
        <f t="shared" si="38"/>
        <v>0.98935999999999991</v>
      </c>
      <c r="I52" s="7">
        <f t="shared" si="38"/>
        <v>0.94291999999999998</v>
      </c>
      <c r="J52" s="7">
        <f t="shared" si="38"/>
        <v>0.94901999999999997</v>
      </c>
      <c r="K52" s="7">
        <f t="shared" si="38"/>
        <v>0.97927999999999993</v>
      </c>
      <c r="L52" s="7">
        <f t="shared" si="38"/>
        <v>0.98343999999999987</v>
      </c>
      <c r="M52" s="7">
        <f t="shared" si="38"/>
        <v>0.89092000000000005</v>
      </c>
      <c r="N52" s="7">
        <f t="shared" si="38"/>
        <v>0.81901999999999986</v>
      </c>
      <c r="O52" s="7">
        <f t="shared" si="38"/>
        <v>0.88702000000000003</v>
      </c>
      <c r="P52" s="7">
        <f>AVERAGE(P47:P51)</f>
        <v>0.9978800000000001</v>
      </c>
      <c r="Q52" s="7">
        <f>AVERAGE(F52:P52)</f>
        <v>0.94126727272727273</v>
      </c>
      <c r="R52" s="19"/>
    </row>
    <row r="53" spans="1:18" ht="30" customHeight="1">
      <c r="A53" s="12">
        <v>44262</v>
      </c>
      <c r="B53" s="13" t="s">
        <v>53</v>
      </c>
      <c r="C53" s="16" t="s">
        <v>54</v>
      </c>
      <c r="D53" s="17" t="s">
        <v>52</v>
      </c>
      <c r="E53" s="10">
        <v>0</v>
      </c>
      <c r="F53" s="7">
        <v>0.96640000000000004</v>
      </c>
      <c r="G53" s="7">
        <v>0.94159999999999999</v>
      </c>
      <c r="H53" s="7">
        <v>0.98750000000000004</v>
      </c>
      <c r="I53" s="7">
        <v>0.90090000000000003</v>
      </c>
      <c r="J53" s="7">
        <v>0.94210000000000005</v>
      </c>
      <c r="K53" s="7">
        <v>0.97719999999999996</v>
      </c>
      <c r="L53" s="7">
        <v>0.98070000000000002</v>
      </c>
      <c r="M53" s="7">
        <v>0.88619999999999999</v>
      </c>
      <c r="N53" s="7">
        <v>0.82540000000000002</v>
      </c>
      <c r="O53" s="7">
        <v>0.88229999999999997</v>
      </c>
      <c r="P53" s="7">
        <v>0.99750000000000005</v>
      </c>
      <c r="Q53" s="7">
        <f t="shared" ref="Q53:Q57" si="39">AVERAGE(F53:P53)</f>
        <v>0.93525454545454556</v>
      </c>
      <c r="R53" s="19"/>
    </row>
    <row r="54" spans="1:18" ht="30" customHeight="1">
      <c r="A54" s="12"/>
      <c r="B54" s="14"/>
      <c r="C54" s="16"/>
      <c r="D54" s="18"/>
      <c r="E54" s="10">
        <v>1</v>
      </c>
      <c r="F54" s="7">
        <v>0.89510000000000001</v>
      </c>
      <c r="G54" s="7">
        <v>0.95340000000000003</v>
      </c>
      <c r="H54" s="7">
        <v>0.99099999999999999</v>
      </c>
      <c r="I54" s="7">
        <v>0.94630000000000003</v>
      </c>
      <c r="J54" s="7">
        <v>0.95250000000000001</v>
      </c>
      <c r="K54" s="7">
        <v>0.98319999999999996</v>
      </c>
      <c r="L54" s="7">
        <v>0.98619999999999997</v>
      </c>
      <c r="M54" s="7">
        <v>0.9002</v>
      </c>
      <c r="N54" s="7">
        <v>0.82740000000000002</v>
      </c>
      <c r="O54" s="7">
        <v>0.89329999999999998</v>
      </c>
      <c r="P54" s="7">
        <v>0.99819999999999998</v>
      </c>
      <c r="Q54" s="7">
        <f t="shared" si="39"/>
        <v>0.93880000000000008</v>
      </c>
      <c r="R54" s="19"/>
    </row>
    <row r="55" spans="1:18" ht="30" customHeight="1">
      <c r="A55" s="12"/>
      <c r="B55" s="14"/>
      <c r="C55" s="16"/>
      <c r="D55" s="18"/>
      <c r="E55" s="10">
        <v>2</v>
      </c>
      <c r="F55" s="7">
        <v>0.97619999999999996</v>
      </c>
      <c r="G55" s="7">
        <v>0.94640000000000002</v>
      </c>
      <c r="H55" s="7">
        <v>0.98760000000000003</v>
      </c>
      <c r="I55" s="7">
        <v>0.92469999999999997</v>
      </c>
      <c r="J55" s="7">
        <v>0.94830000000000003</v>
      </c>
      <c r="K55" s="7">
        <v>0.98040000000000005</v>
      </c>
      <c r="L55" s="7">
        <v>0.98570000000000002</v>
      </c>
      <c r="M55" s="7">
        <v>0.88959999999999995</v>
      </c>
      <c r="N55" s="7">
        <v>0.84330000000000005</v>
      </c>
      <c r="O55" s="7">
        <v>0.89570000000000005</v>
      </c>
      <c r="P55" s="7">
        <v>0.99790000000000001</v>
      </c>
      <c r="Q55" s="7">
        <f t="shared" si="39"/>
        <v>0.94325454545454523</v>
      </c>
      <c r="R55" s="19"/>
    </row>
    <row r="56" spans="1:18" ht="30" customHeight="1">
      <c r="A56" s="12"/>
      <c r="B56" s="14"/>
      <c r="C56" s="16"/>
      <c r="D56" s="18"/>
      <c r="E56" s="10">
        <v>3</v>
      </c>
      <c r="F56" s="7">
        <v>0.9577</v>
      </c>
      <c r="G56" s="7">
        <v>0.95050000000000001</v>
      </c>
      <c r="H56" s="7">
        <v>0.98970000000000002</v>
      </c>
      <c r="I56" s="7">
        <v>0.93799999999999994</v>
      </c>
      <c r="J56" s="7">
        <v>0.94750000000000001</v>
      </c>
      <c r="K56" s="7">
        <v>0.97909999999999997</v>
      </c>
      <c r="L56" s="7">
        <v>0.98329999999999995</v>
      </c>
      <c r="M56" s="7">
        <v>0.89949999999999997</v>
      </c>
      <c r="N56" s="7">
        <v>0.83550000000000002</v>
      </c>
      <c r="O56" s="7">
        <v>0.9052</v>
      </c>
      <c r="P56" s="7">
        <v>0.99299999999999999</v>
      </c>
      <c r="Q56" s="7">
        <f t="shared" si="39"/>
        <v>0.94354545454545447</v>
      </c>
      <c r="R56" s="19"/>
    </row>
    <row r="57" spans="1:18" ht="30" customHeight="1">
      <c r="A57" s="12"/>
      <c r="B57" s="14"/>
      <c r="C57" s="16"/>
      <c r="D57" s="18"/>
      <c r="E57" s="10">
        <v>4</v>
      </c>
      <c r="F57" s="7">
        <v>0.96909999999999996</v>
      </c>
      <c r="G57" s="7">
        <v>0.95789999999999997</v>
      </c>
      <c r="H57" s="7">
        <v>0.99009999999999998</v>
      </c>
      <c r="I57" s="7">
        <v>0.94879999999999998</v>
      </c>
      <c r="J57" s="7">
        <v>0.94479999999999997</v>
      </c>
      <c r="K57" s="7">
        <v>0.97989999999999999</v>
      </c>
      <c r="L57" s="7">
        <v>0.98099999999999998</v>
      </c>
      <c r="M57" s="7">
        <v>0.88170000000000004</v>
      </c>
      <c r="N57" s="7">
        <v>0.80679999999999996</v>
      </c>
      <c r="O57" s="7">
        <v>0.89200000000000002</v>
      </c>
      <c r="P57" s="7">
        <v>0.99719999999999998</v>
      </c>
      <c r="Q57" s="7">
        <f t="shared" si="39"/>
        <v>0.94084545454545454</v>
      </c>
      <c r="R57" s="19"/>
    </row>
    <row r="58" spans="1:18" ht="30" customHeight="1">
      <c r="A58" s="12"/>
      <c r="B58" s="15"/>
      <c r="C58" s="16"/>
      <c r="D58" s="18"/>
      <c r="E58" s="10" t="s">
        <v>0</v>
      </c>
      <c r="F58" s="7">
        <f>AVERAGE(F53:F57)</f>
        <v>0.95289999999999997</v>
      </c>
      <c r="G58" s="7">
        <f t="shared" ref="G58:O58" si="40">AVERAGE(G53:G57)</f>
        <v>0.94996000000000014</v>
      </c>
      <c r="H58" s="7">
        <f t="shared" si="40"/>
        <v>0.98917999999999995</v>
      </c>
      <c r="I58" s="7">
        <f t="shared" si="40"/>
        <v>0.93174000000000012</v>
      </c>
      <c r="J58" s="7">
        <f t="shared" si="40"/>
        <v>0.94703999999999999</v>
      </c>
      <c r="K58" s="7">
        <f t="shared" si="40"/>
        <v>0.97995999999999994</v>
      </c>
      <c r="L58" s="7">
        <f t="shared" si="40"/>
        <v>0.98338000000000003</v>
      </c>
      <c r="M58" s="7">
        <f t="shared" si="40"/>
        <v>0.89144000000000001</v>
      </c>
      <c r="N58" s="7">
        <f t="shared" si="40"/>
        <v>0.82768000000000019</v>
      </c>
      <c r="O58" s="7">
        <f t="shared" si="40"/>
        <v>0.89370000000000016</v>
      </c>
      <c r="P58" s="7">
        <f>AVERAGE(P53:P57)</f>
        <v>0.99675999999999987</v>
      </c>
      <c r="Q58" s="7">
        <f>AVERAGE(F58:P58)</f>
        <v>0.94034000000000018</v>
      </c>
      <c r="R58" s="19"/>
    </row>
    <row r="59" spans="1:18" ht="30" customHeight="1">
      <c r="A59" s="12">
        <v>44263</v>
      </c>
      <c r="B59" s="13" t="s">
        <v>55</v>
      </c>
      <c r="C59" s="16" t="s">
        <v>54</v>
      </c>
      <c r="D59" s="17" t="s">
        <v>48</v>
      </c>
      <c r="E59" s="11">
        <v>0</v>
      </c>
      <c r="F59" s="7">
        <v>0.98929999999999996</v>
      </c>
      <c r="G59" s="7">
        <v>0.95409999999999995</v>
      </c>
      <c r="H59" s="7">
        <v>0.98850000000000005</v>
      </c>
      <c r="I59" s="7">
        <v>0.8831</v>
      </c>
      <c r="J59" s="7">
        <v>0.91820000000000002</v>
      </c>
      <c r="K59" s="7">
        <v>0.97509999999999997</v>
      </c>
      <c r="L59" s="7">
        <v>0.9788</v>
      </c>
      <c r="M59" s="7">
        <v>0.89539999999999997</v>
      </c>
      <c r="N59" s="7">
        <v>0.82079999999999997</v>
      </c>
      <c r="O59" s="7">
        <v>0.88180000000000003</v>
      </c>
      <c r="P59" s="7">
        <v>0.99950000000000006</v>
      </c>
      <c r="Q59" s="7">
        <f t="shared" ref="Q59:Q63" si="41">AVERAGE(F59:P59)</f>
        <v>0.93496363636363633</v>
      </c>
      <c r="R59" s="19"/>
    </row>
    <row r="60" spans="1:18" ht="30" customHeight="1">
      <c r="A60" s="12"/>
      <c r="B60" s="14"/>
      <c r="C60" s="16"/>
      <c r="D60" s="18"/>
      <c r="E60" s="11">
        <v>1</v>
      </c>
      <c r="F60" s="7">
        <v>0.92169999999999996</v>
      </c>
      <c r="G60" s="7">
        <v>0.95550000000000002</v>
      </c>
      <c r="H60" s="7">
        <v>0.99119999999999997</v>
      </c>
      <c r="I60" s="7">
        <v>0.92500000000000004</v>
      </c>
      <c r="J60" s="7">
        <v>0.91059999999999997</v>
      </c>
      <c r="K60" s="7">
        <v>0.97860000000000003</v>
      </c>
      <c r="L60" s="7">
        <v>0.98150000000000004</v>
      </c>
      <c r="M60" s="7">
        <v>0.90790000000000004</v>
      </c>
      <c r="N60" s="7">
        <v>0.82969999999999999</v>
      </c>
      <c r="O60" s="7">
        <v>0.88729999999999998</v>
      </c>
      <c r="P60" s="7">
        <v>0.99950000000000006</v>
      </c>
      <c r="Q60" s="7">
        <f t="shared" si="41"/>
        <v>0.93531818181818172</v>
      </c>
      <c r="R60" s="19"/>
    </row>
    <row r="61" spans="1:18" ht="30" customHeight="1">
      <c r="A61" s="12"/>
      <c r="B61" s="14"/>
      <c r="C61" s="16"/>
      <c r="D61" s="18"/>
      <c r="E61" s="11">
        <v>2</v>
      </c>
      <c r="F61" s="7">
        <v>0.98370000000000002</v>
      </c>
      <c r="G61" s="7">
        <v>0.94310000000000005</v>
      </c>
      <c r="H61" s="7">
        <v>0.98540000000000005</v>
      </c>
      <c r="I61" s="7">
        <v>0.89929999999999999</v>
      </c>
      <c r="J61" s="7">
        <v>0.90600000000000003</v>
      </c>
      <c r="K61" s="7">
        <v>0.98089999999999999</v>
      </c>
      <c r="L61" s="7">
        <v>0.98050000000000004</v>
      </c>
      <c r="M61" s="7">
        <v>0.88339999999999996</v>
      </c>
      <c r="N61" s="7">
        <v>0.82440000000000002</v>
      </c>
      <c r="O61" s="7">
        <v>0.88749999999999996</v>
      </c>
      <c r="P61" s="7">
        <v>0.996</v>
      </c>
      <c r="Q61" s="7">
        <f t="shared" si="41"/>
        <v>0.93365454545454551</v>
      </c>
      <c r="R61" s="19"/>
    </row>
    <row r="62" spans="1:18" ht="30" customHeight="1">
      <c r="A62" s="12"/>
      <c r="B62" s="14"/>
      <c r="C62" s="16"/>
      <c r="D62" s="18"/>
      <c r="E62" s="11">
        <v>3</v>
      </c>
      <c r="F62" s="7">
        <v>0.97230000000000005</v>
      </c>
      <c r="G62" s="7">
        <v>0.95779999999999998</v>
      </c>
      <c r="H62" s="7">
        <v>0.99050000000000005</v>
      </c>
      <c r="I62" s="7">
        <v>0.91959999999999997</v>
      </c>
      <c r="J62" s="7">
        <v>0.94469999999999998</v>
      </c>
      <c r="K62" s="7">
        <v>0.97989999999999999</v>
      </c>
      <c r="L62" s="7">
        <v>0.98250000000000004</v>
      </c>
      <c r="M62" s="7">
        <v>0.90400000000000003</v>
      </c>
      <c r="N62" s="7">
        <v>0.83289999999999997</v>
      </c>
      <c r="O62" s="7">
        <v>0.89970000000000006</v>
      </c>
      <c r="P62" s="7">
        <v>0.99670000000000003</v>
      </c>
      <c r="Q62" s="7">
        <f t="shared" si="41"/>
        <v>0.94369090909090902</v>
      </c>
      <c r="R62" s="19"/>
    </row>
    <row r="63" spans="1:18" ht="30" customHeight="1">
      <c r="A63" s="12"/>
      <c r="B63" s="14"/>
      <c r="C63" s="16"/>
      <c r="D63" s="18"/>
      <c r="E63" s="11">
        <v>4</v>
      </c>
      <c r="F63" s="7">
        <v>0.85960000000000003</v>
      </c>
      <c r="G63" s="7">
        <v>0.95499999999999996</v>
      </c>
      <c r="H63" s="7">
        <v>0.98939999999999995</v>
      </c>
      <c r="I63" s="7">
        <v>0.90820000000000001</v>
      </c>
      <c r="J63" s="7">
        <v>0.87629999999999997</v>
      </c>
      <c r="K63" s="7">
        <v>0.97789999999999999</v>
      </c>
      <c r="L63" s="7">
        <v>0.97409999999999997</v>
      </c>
      <c r="M63" s="7">
        <v>0.87219999999999998</v>
      </c>
      <c r="N63" s="7">
        <v>0.81240000000000001</v>
      </c>
      <c r="O63" s="7">
        <v>0.90029999999999999</v>
      </c>
      <c r="P63" s="7">
        <v>0.99919999999999998</v>
      </c>
      <c r="Q63" s="7">
        <f t="shared" si="41"/>
        <v>0.92041818181818169</v>
      </c>
      <c r="R63" s="19"/>
    </row>
    <row r="64" spans="1:18" ht="30" customHeight="1">
      <c r="A64" s="12"/>
      <c r="B64" s="15"/>
      <c r="C64" s="16"/>
      <c r="D64" s="18"/>
      <c r="E64" s="11" t="s">
        <v>0</v>
      </c>
      <c r="F64" s="7">
        <f>AVERAGE(F59:F63)</f>
        <v>0.94532000000000005</v>
      </c>
      <c r="G64" s="7">
        <f t="shared" ref="G64:O64" si="42">AVERAGE(G59:G63)</f>
        <v>0.95310000000000006</v>
      </c>
      <c r="H64" s="7">
        <f t="shared" si="42"/>
        <v>0.9890000000000001</v>
      </c>
      <c r="I64" s="7">
        <f t="shared" si="42"/>
        <v>0.90703999999999996</v>
      </c>
      <c r="J64" s="7">
        <f t="shared" si="42"/>
        <v>0.91115999999999997</v>
      </c>
      <c r="K64" s="7">
        <f t="shared" si="42"/>
        <v>0.97848000000000002</v>
      </c>
      <c r="L64" s="7">
        <f t="shared" si="42"/>
        <v>0.97948000000000002</v>
      </c>
      <c r="M64" s="7">
        <f t="shared" si="42"/>
        <v>0.89258000000000004</v>
      </c>
      <c r="N64" s="7">
        <f t="shared" si="42"/>
        <v>0.82403999999999988</v>
      </c>
      <c r="O64" s="7">
        <f t="shared" si="42"/>
        <v>0.89132</v>
      </c>
      <c r="P64" s="7">
        <f>AVERAGE(P59:P63)</f>
        <v>0.99817999999999996</v>
      </c>
      <c r="Q64" s="7">
        <f>AVERAGE(F64:P64)</f>
        <v>0.93360909090909094</v>
      </c>
      <c r="R64" s="19"/>
    </row>
    <row r="65" spans="18:18">
      <c r="R65" s="2"/>
    </row>
  </sheetData>
  <mergeCells count="63">
    <mergeCell ref="A59:A64"/>
    <mergeCell ref="B59:B64"/>
    <mergeCell ref="C59:C64"/>
    <mergeCell ref="D59:D64"/>
    <mergeCell ref="R59:R64"/>
    <mergeCell ref="A53:A58"/>
    <mergeCell ref="B53:B58"/>
    <mergeCell ref="C53:C58"/>
    <mergeCell ref="D53:D58"/>
    <mergeCell ref="R53:R58"/>
    <mergeCell ref="A35:A40"/>
    <mergeCell ref="B35:B40"/>
    <mergeCell ref="C35:C40"/>
    <mergeCell ref="D35:D40"/>
    <mergeCell ref="R35:R40"/>
    <mergeCell ref="C23:C28"/>
    <mergeCell ref="D23:D28"/>
    <mergeCell ref="R23:R28"/>
    <mergeCell ref="A29:A34"/>
    <mergeCell ref="B29:B34"/>
    <mergeCell ref="C29:C34"/>
    <mergeCell ref="D29:D34"/>
    <mergeCell ref="R29:R34"/>
    <mergeCell ref="B4:B7"/>
    <mergeCell ref="B8:B11"/>
    <mergeCell ref="B12:B16"/>
    <mergeCell ref="B17:B22"/>
    <mergeCell ref="A23:A28"/>
    <mergeCell ref="B23:B28"/>
    <mergeCell ref="A12:A16"/>
    <mergeCell ref="A8:A11"/>
    <mergeCell ref="A4:A7"/>
    <mergeCell ref="C12:C16"/>
    <mergeCell ref="D12:D16"/>
    <mergeCell ref="R12:R16"/>
    <mergeCell ref="A17:A22"/>
    <mergeCell ref="C17:C22"/>
    <mergeCell ref="D17:D22"/>
    <mergeCell ref="R17:R22"/>
    <mergeCell ref="C8:C11"/>
    <mergeCell ref="D8:D11"/>
    <mergeCell ref="R8:R11"/>
    <mergeCell ref="Q1:Q3"/>
    <mergeCell ref="R1:R3"/>
    <mergeCell ref="C4:C7"/>
    <mergeCell ref="D4:D7"/>
    <mergeCell ref="R4:R7"/>
    <mergeCell ref="F1:P1"/>
    <mergeCell ref="A1:A3"/>
    <mergeCell ref="C1:C3"/>
    <mergeCell ref="D1:D3"/>
    <mergeCell ref="E1:E3"/>
    <mergeCell ref="B1:B3"/>
    <mergeCell ref="A41:A46"/>
    <mergeCell ref="B41:B46"/>
    <mergeCell ref="C41:C46"/>
    <mergeCell ref="D41:D46"/>
    <mergeCell ref="R41:R46"/>
    <mergeCell ref="A47:A52"/>
    <mergeCell ref="B47:B52"/>
    <mergeCell ref="C47:C52"/>
    <mergeCell ref="D47:D52"/>
    <mergeCell ref="R47:R52"/>
  </mergeCells>
  <phoneticPr fontId="1"/>
  <conditionalFormatting sqref="F4:P4">
    <cfRule type="aboveAverage" dxfId="13" priority="14" aboveAverage="0"/>
  </conditionalFormatting>
  <conditionalFormatting sqref="F8:P8">
    <cfRule type="aboveAverage" dxfId="12" priority="13" aboveAverage="0"/>
  </conditionalFormatting>
  <conditionalFormatting sqref="F5:P5">
    <cfRule type="aboveAverage" dxfId="11" priority="12" aboveAverage="0"/>
  </conditionalFormatting>
  <conditionalFormatting sqref="F6:P6">
    <cfRule type="aboveAverage" dxfId="10" priority="11" aboveAverage="0"/>
  </conditionalFormatting>
  <conditionalFormatting sqref="F7:P7">
    <cfRule type="aboveAverage" dxfId="9" priority="10" aboveAverage="0"/>
  </conditionalFormatting>
  <conditionalFormatting sqref="F12:P12">
    <cfRule type="aboveAverage" dxfId="8" priority="9" aboveAverage="0"/>
  </conditionalFormatting>
  <conditionalFormatting sqref="F17:P17">
    <cfRule type="aboveAverage" dxfId="7" priority="8" aboveAverage="0"/>
  </conditionalFormatting>
  <conditionalFormatting sqref="F23:P23">
    <cfRule type="aboveAverage" dxfId="6" priority="7" aboveAverage="0"/>
  </conditionalFormatting>
  <conditionalFormatting sqref="F29:P29">
    <cfRule type="aboveAverage" dxfId="5" priority="6" aboveAverage="0"/>
  </conditionalFormatting>
  <conditionalFormatting sqref="F35:P35">
    <cfRule type="aboveAverage" dxfId="4" priority="5" aboveAverage="0"/>
  </conditionalFormatting>
  <conditionalFormatting sqref="F41:P41">
    <cfRule type="aboveAverage" dxfId="3" priority="4" aboveAverage="0"/>
  </conditionalFormatting>
  <conditionalFormatting sqref="F47:P47">
    <cfRule type="aboveAverage" dxfId="2" priority="3" aboveAverage="0"/>
  </conditionalFormatting>
  <conditionalFormatting sqref="F53:P53">
    <cfRule type="aboveAverage" dxfId="1" priority="2" aboveAverage="0"/>
  </conditionalFormatting>
  <conditionalFormatting sqref="F59:P59">
    <cfRule type="aboveAverage" dxfId="0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2021-02-15T01:27:46Z</dcterms:created>
  <dcterms:modified xsi:type="dcterms:W3CDTF">2021-03-11T00:26:32Z</dcterms:modified>
</cp:coreProperties>
</file>